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_Notice" sheetId="1" state="visible" r:id="rId1"/>
    <sheet xmlns:r="http://schemas.openxmlformats.org/officeDocument/2006/relationships" name="01_Types_erreur" sheetId="2" state="visible" r:id="rId2"/>
    <sheet xmlns:r="http://schemas.openxmlformats.org/officeDocument/2006/relationships" name="02_Competences" sheetId="3" state="visible" r:id="rId3"/>
    <sheet xmlns:r="http://schemas.openxmlformats.org/officeDocument/2006/relationships" name="03_Pont_tests" sheetId="4" state="visible" r:id="rId4"/>
    <sheet xmlns:r="http://schemas.openxmlformats.org/officeDocument/2006/relationships" name="04_Questions" sheetId="5" state="visible" r:id="rId5"/>
    <sheet xmlns:r="http://schemas.openxmlformats.org/officeDocument/2006/relationships" name="05_Grille_diagnostic" sheetId="6" state="visible" r:id="rId6"/>
    <sheet xmlns:r="http://schemas.openxmlformats.org/officeDocument/2006/relationships" name="06_Distracteurs" sheetId="7" state="visible" r:id="rId7"/>
    <sheet xmlns:r="http://schemas.openxmlformats.org/officeDocument/2006/relationships" name="07_Couverture" sheetId="8" state="visible" r:id="rId8"/>
    <sheet xmlns:r="http://schemas.openxmlformats.org/officeDocument/2006/relationships" name="08_Cout_remediation" sheetId="9" state="visible" r:id="rId9"/>
    <sheet xmlns:r="http://schemas.openxmlformats.org/officeDocument/2006/relationships" name="09_Anomalies" sheetId="10" state="visible" r:id="rId10"/>
  </sheets>
  <definedNames>
    <definedName name="_xlnm._FilterDatabase" localSheetId="1" hidden="1">'01_Types_erreur'!$A$1:$G$8</definedName>
    <definedName name="_xlnm._FilterDatabase" localSheetId="2" hidden="1">'02_Competences'!$A$1:$J$102</definedName>
    <definedName name="_xlnm._FilterDatabase" localSheetId="3" hidden="1">'03_Pont_tests'!$A$1:$F$117</definedName>
    <definedName name="_xlnm._FilterDatabase" localSheetId="4" hidden="1">'04_Questions'!$A$1:$I$283</definedName>
    <definedName name="_xlnm._FilterDatabase" localSheetId="5" hidden="1">'05_Grille_diagnostic'!$A$1:$F$1042</definedName>
    <definedName name="_xlnm._FilterDatabase" localSheetId="6" hidden="1">'06_Distracteurs'!$A$1:$G$173</definedName>
    <definedName name="_xlnm._FilterDatabase" localSheetId="7" hidden="1">'07_Couverture'!$A$1:$K$117</definedName>
    <definedName name="_xlnm._FilterDatabase" localSheetId="8" hidden="1">'08_Cout_remediation'!$A$1:$H$445</definedName>
    <definedName name="_xlnm._FilterDatabase" localSheetId="9" hidden="1">'09_Anomalies'!$A$1:$H$28</definedName>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sz val="10"/>
    </font>
    <font>
      <name val="Arial"/>
      <charset val="1"/>
      <family val="0"/>
      <b val="1"/>
      <color rgb="FF1F3864"/>
      <sz val="11"/>
    </font>
    <font>
      <name val="Arial"/>
      <charset val="1"/>
      <family val="0"/>
      <b val="1"/>
      <color rgb="FFFFFFFF"/>
      <sz val="10"/>
    </font>
    <font>
      <name val="Arial"/>
      <b val="1"/>
      <color rgb="FFFFFFFF"/>
      <sz val="10"/>
    </font>
    <font>
      <name val="Arial"/>
      <sz val="10"/>
    </font>
    <font>
      <name val="Arial"/>
      <b val="1"/>
      <color rgb="FF1F3864"/>
      <sz val="11"/>
    </font>
    <font>
      <name val="Arial"/>
      <i val="1"/>
      <sz val="9"/>
    </font>
    <font>
      <name val="Arial"/>
      <b val="1"/>
      <color rgb="FF1F3864"/>
      <sz val="14"/>
    </font>
  </fonts>
  <fills count="6">
    <fill>
      <patternFill/>
    </fill>
    <fill>
      <patternFill patternType="gray125"/>
    </fill>
    <fill>
      <patternFill patternType="solid">
        <fgColor rgb="FF1F3864"/>
        <bgColor rgb="FF333333"/>
      </patternFill>
    </fill>
    <fill>
      <patternFill patternType="solid">
        <fgColor rgb="FFF2F5FA"/>
        <bgColor rgb="FFFFFFFF"/>
      </patternFill>
    </fill>
    <fill>
      <patternFill patternType="solid">
        <fgColor rgb="FF1F3864"/>
      </patternFill>
    </fill>
    <fill>
      <patternFill patternType="solid">
        <fgColor rgb="FFF2F5FA"/>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6">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center" vertical="center" wrapText="1"/>
    </xf>
    <xf numFmtId="0" fontId="5" fillId="3" borderId="1" applyAlignment="1" pivotButton="0" quotePrefix="0" xfId="0">
      <alignment horizontal="general" vertical="top"/>
    </xf>
    <xf numFmtId="0" fontId="5" fillId="3" borderId="1" applyAlignment="1" pivotButton="0" quotePrefix="0" xfId="0">
      <alignment horizontal="general" vertical="top" wrapText="1"/>
    </xf>
    <xf numFmtId="0" fontId="5" fillId="0" borderId="1" applyAlignment="1" pivotButton="0" quotePrefix="0" xfId="0">
      <alignment horizontal="general" vertical="top"/>
    </xf>
    <xf numFmtId="0" fontId="5"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12"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7" fillId="2" borderId="0" applyAlignment="1" pivotButton="0" quotePrefix="0" xfId="0">
      <alignment horizontal="center" vertical="center" wrapText="1"/>
    </xf>
    <xf numFmtId="0" fontId="5" fillId="3" borderId="1" applyAlignment="1" pivotButton="0" quotePrefix="0" xfId="0">
      <alignment horizontal="general" vertical="top"/>
    </xf>
    <xf numFmtId="0" fontId="5" fillId="3" borderId="1" applyAlignment="1" pivotButton="0" quotePrefix="0" xfId="0">
      <alignment horizontal="general" vertical="top" wrapText="1"/>
    </xf>
    <xf numFmtId="0" fontId="5" fillId="0" borderId="1" applyAlignment="1" pivotButton="0" quotePrefix="0" xfId="0">
      <alignment horizontal="general" vertical="top"/>
    </xf>
    <xf numFmtId="0" fontId="5" fillId="0" borderId="1" applyAlignment="1" pivotButton="0" quotePrefix="0" xfId="0">
      <alignment horizontal="general" vertical="top" wrapText="1"/>
    </xf>
    <xf numFmtId="0" fontId="8" fillId="4" borderId="0" applyAlignment="1" pivotButton="0" quotePrefix="0" xfId="0">
      <alignment horizontal="center" vertical="center" wrapText="1"/>
    </xf>
    <xf numFmtId="0" fontId="9" fillId="5" borderId="2" applyAlignment="1" pivotButton="0" quotePrefix="0" xfId="0">
      <alignment horizontal="general" vertical="top" wrapText="1"/>
    </xf>
    <xf numFmtId="0" fontId="9" fillId="5" borderId="2" applyAlignment="1" pivotButton="0" quotePrefix="0" xfId="0">
      <alignment horizontal="center" vertical="top" wrapText="1"/>
    </xf>
    <xf numFmtId="0" fontId="9" fillId="0" borderId="2" applyAlignment="1" pivotButton="0" quotePrefix="0" xfId="0">
      <alignment horizontal="general" vertical="top" wrapText="1"/>
    </xf>
    <xf numFmtId="0" fontId="9" fillId="0" borderId="2" applyAlignment="1" pivotButton="0" quotePrefix="0" xfId="0">
      <alignment horizontal="center" vertical="top" wrapText="1"/>
    </xf>
    <xf numFmtId="0" fontId="10" fillId="0" borderId="0" pivotButton="0" quotePrefix="0" xfId="0"/>
    <xf numFmtId="0" fontId="11"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1F3864"/>
          <bgColor rgb="FF000000"/>
        </patternFill>
      </fill>
    </dxf>
    <dxf>
      <fill>
        <patternFill patternType="solid">
          <fgColor rgb="FFF2F5FA"/>
          <bgColor rgb="FF000000"/>
        </patternFill>
      </fill>
    </dxf>
    <dxf>
      <fill>
        <patternFill patternType="solid">
          <bgColor rgb="FF000000"/>
        </patternFill>
      </fill>
    </dxf>
    <dxf>
      <fill>
        <patternFill patternType="solid">
          <fgColor rgb="FFFFFFFF"/>
          <bgColor rgb="FF000000"/>
        </patternFill>
      </fill>
    </dxf>
    <dxf>
      <fill>
        <patternFill patternType="solid">
          <f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5FA"/>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4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0" customWidth="1" style="9" min="1" max="1"/>
  </cols>
  <sheetData>
    <row r="1" ht="17.35" customHeight="1" s="10">
      <c r="A1" s="11" t="inlineStr">
        <is>
          <t>REFERENTIEL URIE v1 : taxonomie des compétences et des erreurs</t>
        </is>
      </c>
    </row>
    <row r="2" ht="15" customHeight="1" s="10">
      <c r="A2" s="12" t="inlineStr">
        <is>
          <t>Mathématiques, 6ème à Terminale D, programme burkinabè, Hakili Lab</t>
        </is>
      </c>
    </row>
    <row r="3" ht="15" customHeight="1" s="10">
      <c r="A3" s="12" t="inlineStr">
        <is>
          <t>Version 1.0 du 12 octobre 2026, alignée sur la batterie de tests allégée du 6 octobre 2026. A VALIDER par un enseignant de mathématiques avant figeage.</t>
        </is>
      </c>
    </row>
    <row r="4" ht="15" customHeight="1" s="10">
      <c r="A4" s="12" t="n"/>
    </row>
    <row r="5" ht="15" customHeight="1" s="10">
      <c r="A5" s="13" t="inlineStr">
        <is>
          <t>Ce qui change par rapport à la v0</t>
        </is>
      </c>
    </row>
    <row r="6" ht="15" customHeight="1" s="10">
      <c r="A6" s="12" t="inlineStr">
        <is>
          <t>La v0 (28 juillet 2026) taguait la première batterie : 7 tests de 40 questions, sans partie C. Cette batterie n'existe plus, et les mêmes codes désignent aujourd'hui d'autres questions (en 6ème, G2 était un angle de 47°, c'est aujourd'hui une question de perpendicularité). Une copie corrigée avec la v0 serait créditée à la mauvaise compétence, sans aucun message d'erreur : la v0 ne doit plus servir.</t>
        </is>
      </c>
    </row>
    <row r="7" ht="15" customHeight="1" s="10">
      <c r="A7" s="12" t="inlineStr">
        <is>
          <t>Onglets 04 à 06 refaits sur les sujets actuels : 282 questions (124 en partie A  86 en partie B  72 sous-questions en partie C)  1 041 erreurs attendues  172 options de QCM.</t>
        </is>
      </c>
    </row>
    <row r="8" ht="15" customHeight="1" s="10">
      <c r="A8" s="12" t="inlineStr">
        <is>
          <t>La partie C est taguée sous-question par sous-question (P1.1, P1.2, P1.3...) : chaque problème croise 2 à 6 compétences, une ligne par problème ne dirait pas laquelle a manqué. Le barème de chaque sous-question est celui du corrigé.</t>
        </is>
      </c>
    </row>
    <row r="9" ht="15" customHeight="1" s="10">
      <c r="A9" s="12" t="inlineStr">
        <is>
          <t>Onglet 03 : la colonne Groupe (allocation de l'ancienne batterie de 40 questions) est retirée ; les nombres attendus sont ceux des matrices actuelles.</t>
        </is>
      </c>
    </row>
    <row r="10" ht="15" customHeight="1" s="10">
      <c r="A10" s="12" t="inlineStr">
        <is>
          <t>Onglet 07 : contrôle par compétence (A, B, C) et contrôle par test (barème, couverture de la partie C).</t>
        </is>
      </c>
    </row>
    <row r="11" ht="15" customHeight="1" s="10">
      <c r="A11" s="12" t="inlineStr">
        <is>
          <t>Nouvel onglet 09 : incohérences relevées dans les sujets, les corrigés, les matrices et le pont pendant le tagage, classées par priorité.</t>
        </is>
      </c>
    </row>
    <row r="12" ht="15" customHeight="1" s="10">
      <c r="A12" s="12" t="inlineStr">
        <is>
          <t>Onglets 01, 02 et 08 inchangés : la liste des compétences de chaque test n'a pas changé depuis le 27 juillet.</t>
        </is>
      </c>
    </row>
    <row r="13" ht="15" customHeight="1" s="10">
      <c r="A13" s="12" t="n"/>
    </row>
    <row r="14" ht="15" customHeight="1" s="10">
      <c r="A14" s="13" t="inlineStr">
        <is>
          <t>Le principe : un problème = une compétence x un type d'erreur</t>
        </is>
      </c>
    </row>
    <row r="15" ht="15" customHeight="1" s="10">
      <c r="A15" s="12" t="inlineStr">
        <is>
          <t>L'unité de suivi d'un élève n'est ni son score ni sa classe : c'est le problème diagnostiqué, couple d'un code de compétence (onglet 02) et d'un code de type d'erreur (onglet 01). Ce couple porte un cycle de vie : hypothèse, confirmé ou écarté, en remédiation, résolu, régressé, clos.</t>
        </is>
      </c>
    </row>
    <row r="16" ht="15" customHeight="1" s="10">
      <c r="A16" s="12" t="n"/>
    </row>
    <row r="17" ht="15" customHeight="1" s="10">
      <c r="A17" s="13" t="inlineStr">
        <is>
          <t>Contenu des onglets</t>
        </is>
      </c>
    </row>
    <row r="18" ht="15" customHeight="1" s="10">
      <c r="A18" s="12" t="inlineStr">
        <is>
          <t>01_Types_erreur      Liste fermée des 7 types d'erreur, avec signature observable et exemple réel.</t>
        </is>
      </c>
    </row>
    <row r="19" ht="15" customHeight="1" s="10">
      <c r="A19" s="12" t="inlineStr">
        <is>
          <t>02_Competences       101 compétences canoniques à code global unique, avec prérequis.</t>
        </is>
      </c>
    </row>
    <row r="20" ht="15" customHeight="1" s="10">
      <c r="A20" s="12" t="inlineStr">
        <is>
          <t>03_Pont_tests        Correspondance entre les codes locaux des 7 matrices et les codes canoniques.</t>
        </is>
      </c>
    </row>
    <row r="21" ht="15" customHeight="1" s="10">
      <c r="A21" s="12" t="inlineStr">
        <is>
          <t>04_Questions         Questions et sous-questions des tests d'entrée 2026-2027, rattachées à une compétence.</t>
        </is>
      </c>
    </row>
    <row r="22" ht="15" customHeight="1" s="10">
      <c r="A22" s="12" t="inlineStr">
        <is>
          <t>05_Grille_diagnostic Pour chaque question, les erreurs attendues et leur lecture sur la copie.</t>
        </is>
      </c>
    </row>
    <row r="23" ht="15" customHeight="1" s="10">
      <c r="A23" s="12" t="inlineStr">
        <is>
          <t>06_Distracteurs      Options des QCM, chacune taguée par le type d'erreur qu'elle révèle.</t>
        </is>
      </c>
    </row>
    <row r="24" ht="15" customHeight="1" s="10">
      <c r="A24" s="12" t="inlineStr">
        <is>
          <t>07_Couverture        Contrôle : questions taguées contre questions attendues, par compétence et par test.</t>
        </is>
      </c>
    </row>
    <row r="25" ht="15" customHeight="1" s="10">
      <c r="A25" s="12" t="inlineStr">
        <is>
          <t>08_Cout_remediation  Coût horaire estimé pour chaque couple compétence x type d'erreur.</t>
        </is>
      </c>
    </row>
    <row r="26" ht="15" customHeight="1" s="10">
      <c r="A26" s="12" t="inlineStr">
        <is>
          <t>09_Anomalies         Défauts relevés dans les documents des tests, à arbitrer.</t>
        </is>
      </c>
    </row>
    <row r="27" ht="15" customHeight="1" s="10">
      <c r="A27" s="12" t="n"/>
    </row>
    <row r="28" ht="15" customHeight="1" s="10">
      <c r="A28" s="13" t="inlineStr">
        <is>
          <t>Règles de codage à ne jamais transgresser</t>
        </is>
      </c>
    </row>
    <row r="29" ht="15" customHeight="1" s="10">
      <c r="A29" s="12" t="inlineStr">
        <is>
          <t>Les codes des matrices (N-a, G-c...) sont LOCAUX à un test : N-a ne désigne pas la même chose en 6ème et en 3ème. Ils ne doivent jamais être stockés en base. Seuls les codes canoniques de l'onglet 02 (N.NUM, G.THA...) sont stables entre les niveaux et utilisables comme clé.</t>
        </is>
      </c>
    </row>
    <row r="30" ht="15" customHeight="1" s="10">
      <c r="A30" s="12" t="inlineStr">
        <is>
          <t>Une question se désigne en base par le couple (niveau du test, code question), par exemple (6eme, P1.2) : le code seul n'est pas unique.</t>
        </is>
      </c>
    </row>
    <row r="31" ht="15" customHeight="1" s="10">
      <c r="A31" s="12" t="inlineStr">
        <is>
          <t>Si une révision des tests attribue un code existant à une autre question, il faut une nouvelle version du référentiel, jamais une retouche silencieuse : c'est exactement le défaut qui a rendu la v0 inutilisable.</t>
        </is>
      </c>
    </row>
    <row r="32" ht="15" customHeight="1" s="10">
      <c r="A32" s="12" t="n"/>
    </row>
    <row r="33" ht="15" customHeight="1" s="10">
      <c r="A33" s="13" t="inlineStr">
        <is>
          <t>Comment est calculé le coût de remédiation (onglet 08)</t>
        </is>
      </c>
    </row>
    <row r="34" ht="15" customHeight="1" s="10">
      <c r="A34" s="12" t="inlineStr">
        <is>
          <t>coût = volume horaire officiel de la compétence x coefficient du type d'erreur, arrondi à la demi-heure, plancher 0,5 h, plafond 4 h par problème.</t>
        </is>
      </c>
    </row>
    <row r="35" ht="15" customHeight="1" s="10">
      <c r="A35" s="12" t="inlineStr">
        <is>
          <t>Le volume vient des curricula et des guides de l'enseignant : un chapitre partagé entre n compétences donne à chacune ses heures divisées par n ; une compétence adossée à plusieurs chapitres cumule ses parts. La dérivation est tracée ligne à ligne dans l'onglet 08. Le plafond de 4 h évite qu'un seul problème absorbe la moitié d'un plan de remédiation.</t>
        </is>
      </c>
    </row>
    <row r="36" ht="15" customHeight="1" s="10">
      <c r="A36" s="12" t="n"/>
    </row>
    <row r="37" ht="15" customHeight="1" s="10">
      <c r="A37" s="13" t="inlineStr">
        <is>
          <t>Comment la v1 a été vérifiée</t>
        </is>
      </c>
    </row>
    <row r="38" ht="15" customHeight="1" s="10">
      <c r="A38" s="12" t="inlineStr">
        <is>
          <t>Chaque test a été tagué à partir du sujet, de la matrice et du corrigé, puis repris par un second passage indépendant : chaque question résolue sans lire le corrigé, chaque valeur fausse de la grille et chaque option de QCM recalculée à partir de l'erreur décrite. Ce second passage a corrigé 17 lignes ; il n'a trouvé aucune erreur dans les réponses des corrigés ni dans les clés de QCM.</t>
        </is>
      </c>
    </row>
    <row r="39" ht="15" customHeight="1" s="10">
      <c r="A39" s="12" t="n"/>
    </row>
    <row r="40" ht="15" customHeight="1" s="10">
      <c r="A40" s="13" t="inlineStr">
        <is>
          <t>Etat d'avancement</t>
        </is>
      </c>
    </row>
    <row r="41" ht="15" customHeight="1" s="10">
      <c r="A41" s="12" t="inlineStr">
        <is>
          <t>Complet    : référentiel de compétences et types d'erreur pour les 7 niveaux.</t>
        </is>
      </c>
    </row>
    <row r="42" ht="15" customHeight="1" s="10">
      <c r="A42" s="12" t="inlineStr">
        <is>
          <t>Complet    : tagage des 282 questions et sous-questions des 7 tests (version du 6 octobre 2026).</t>
        </is>
      </c>
    </row>
    <row r="43" ht="15" customHeight="1" s="10">
      <c r="A43" s="12" t="inlineStr">
        <is>
          <t>Complet    : volume horaire officiel pour les 74 compétences du collège.</t>
        </is>
      </c>
    </row>
    <row r="44" ht="15" customHeight="1" s="10">
      <c r="A44" s="12" t="inlineStr">
        <is>
          <t>A produire : volume horaire des 27 compétences du lycée. Les documents officiels du secondaire ne donnent qu'une progression mensuelle, pas un volume par chapitre : les valeurs du document source sont des blocs de mois et ont été écartées plutôt qu'utilisées à tort.</t>
        </is>
      </c>
    </row>
    <row r="45" ht="15" customHeight="1" s="10">
      <c r="A45" s="12" t="inlineStr">
        <is>
          <t>A valider  : relecture par un enseignant de mathématiques avant figeage, en priorité l'onglet 05 et le choix de la compétence principale des sous-questions de la partie C.</t>
        </is>
      </c>
    </row>
    <row r="46" ht="15" customHeight="1" s="10">
      <c r="A46" s="12" t="inlineStr">
        <is>
          <t>A arbitrer : les 5 anomalies de priorité 1 de l'onglet 09, avant la prochaine passation.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9" min="1" max="1"/>
    <col width="30" customWidth="1" style="9" min="2" max="2"/>
    <col width="52" customWidth="1" style="9" min="3" max="4"/>
    <col width="56" customWidth="1" style="9" min="5" max="5"/>
    <col width="13" customWidth="1" style="9" min="6" max="7"/>
  </cols>
  <sheetData>
    <row r="1" ht="30" customHeight="1" s="10">
      <c r="A1" s="14" t="inlineStr">
        <is>
          <t>Code</t>
        </is>
      </c>
      <c r="B1" s="14" t="inlineStr">
        <is>
          <t>Type d'erreur</t>
        </is>
      </c>
      <c r="C1" s="14" t="inlineStr">
        <is>
          <t>Definition</t>
        </is>
      </c>
      <c r="D1" s="14" t="inlineStr">
        <is>
          <t>Signature observable sur la copie</t>
        </is>
      </c>
      <c r="E1" s="14" t="inlineStr">
        <is>
          <t>Exemple concret</t>
        </is>
      </c>
      <c r="F1" s="14" t="inlineStr">
        <is>
          <t>Coefficient de cout</t>
        </is>
      </c>
      <c r="G1" s="14" t="inlineStr">
        <is>
          <t>Donne lieu a remediation</t>
        </is>
      </c>
    </row>
    <row r="2" ht="35.05" customHeight="1" s="10">
      <c r="A2" s="15" t="inlineStr">
        <is>
          <t>PRQ</t>
        </is>
      </c>
      <c r="B2" s="15" t="inlineStr">
        <is>
          <t>Prerequis manquant</t>
        </is>
      </c>
      <c r="C2" s="16" t="inlineStr">
        <is>
          <t>L'echec ne porte pas sur la competence visee mais sur un acquis d'une classe anterieure que cette competence mobilise.</t>
        </is>
      </c>
      <c r="D2" s="16" t="inlineStr">
        <is>
          <t>Echec correle sur plusieurs competences differentes qui partagent le meme prerequis. Se lit sur le PROFIL, jamais sur une question isolee.</t>
        </is>
      </c>
      <c r="E2" s="16" t="inlineStr">
        <is>
          <t>Echec sur l'equation x/3 - 2 = x/6 + 1 cause par l'incapacite a additionner deux fractions, et non par la resolution d'equation.</t>
        </is>
      </c>
      <c r="F2" s="15" t="n">
        <v>0.5</v>
      </c>
      <c r="G2" s="15" t="inlineStr">
        <is>
          <t>OUI</t>
        </is>
      </c>
    </row>
    <row r="3" ht="35.05" customHeight="1" s="10">
      <c r="A3" s="17" t="inlineStr">
        <is>
          <t>CPT</t>
        </is>
      </c>
      <c r="B3" s="17" t="inlineStr">
        <is>
          <t>Erreur conceptuelle</t>
        </is>
      </c>
      <c r="C3" s="18" t="inlineStr">
        <is>
          <t>Une notion est comprise de travers : confusion entre deux objets, ou regle fausse appliquee de facon systematique et coherente.</t>
        </is>
      </c>
      <c r="D3" s="18" t="inlineStr">
        <is>
          <t>Erreur reproductible sur tous les questions de la meme competence, logique du point de vue de l'eleve. Resiste a la simple repetition.</t>
        </is>
      </c>
      <c r="E3" s="18" t="inlineStr">
        <is>
          <t>Reponse 4x^2 + 9 au developpement de (2x-3)^2 : l'eleve croit que le carre se distribue sur une somme.</t>
        </is>
      </c>
      <c r="F3" s="17" t="n">
        <v>0.35</v>
      </c>
      <c r="G3" s="17" t="inlineStr">
        <is>
          <t>OUI</t>
        </is>
      </c>
    </row>
    <row r="4" ht="23.85" customHeight="1" s="10">
      <c r="A4" s="15" t="inlineStr">
        <is>
          <t>MOD</t>
        </is>
      </c>
      <c r="B4" s="15" t="inlineStr">
        <is>
          <t>Erreur de modelisation</t>
        </is>
      </c>
      <c r="C4" s="16" t="inlineStr">
        <is>
          <t>L'eleve maitrise la technique mais ne traduit pas l'enonce en objet mathematique.</t>
        </is>
      </c>
      <c r="D4" s="16" t="inlineStr">
        <is>
          <t>Reussite en partie A sur la competence, echec en partie B sur la meme competence en situation.</t>
        </is>
      </c>
      <c r="E4" s="16" t="inlineStr">
        <is>
          <t>Sur 'Karim achete 5 poulets et un sac de riz a 9000 F, il paie 24000 F', ecrire 5(x + 9000) = 24000 au lieu de 5x + 9000 = 24000.</t>
        </is>
      </c>
      <c r="F4" s="15" t="n">
        <v>0.25</v>
      </c>
      <c r="G4" s="15" t="inlineStr">
        <is>
          <t>OUI</t>
        </is>
      </c>
    </row>
    <row r="5" ht="23.85" customHeight="1" s="10">
      <c r="A5" s="17" t="inlineStr">
        <is>
          <t>PRC</t>
        </is>
      </c>
      <c r="B5" s="17" t="inlineStr">
        <is>
          <t>Erreur procedurale</t>
        </is>
      </c>
      <c r="C5" s="18" t="inlineStr">
        <is>
          <t>La regle est connue et correctement choisie, mais son execution echoue.</t>
        </is>
      </c>
      <c r="D5" s="18" t="inlineStr">
        <is>
          <t>Demarche juste et lisible, resultat faux. Souvent signe, retenue, ou etape omise.</t>
        </is>
      </c>
      <c r="E5" s="18" t="inlineStr">
        <is>
          <t>Mise au meme denominateur correcte dans -3/4 + 5/6 puis erreur de signe au numerateur.</t>
        </is>
      </c>
      <c r="F5" s="17" t="n">
        <v>0.15</v>
      </c>
      <c r="G5" s="17" t="inlineStr">
        <is>
          <t>OUI</t>
        </is>
      </c>
    </row>
    <row r="6" ht="23.85" customHeight="1" s="10">
      <c r="A6" s="15" t="inlineStr">
        <is>
          <t>CNS</t>
        </is>
      </c>
      <c r="B6" s="15" t="inlineStr">
        <is>
          <t>Connaissance non disponible</t>
        </is>
      </c>
      <c r="C6" s="16" t="inlineStr">
        <is>
          <t>La formule, la definition ou la propriete n'est pas mobilisee.</t>
        </is>
      </c>
      <c r="D6" s="16" t="inlineStr">
        <is>
          <t>Absence de reponse, ou formule enoncee de facon fausse mais assumee.</t>
        </is>
      </c>
      <c r="E6" s="16" t="inlineStr">
        <is>
          <t>Volume du cone calcule par pi*r^2*h : la formule est connue pour le cylindre, pas pour le cone.</t>
        </is>
      </c>
      <c r="F6" s="15" t="n">
        <v>0.1</v>
      </c>
      <c r="G6" s="15" t="inlineStr">
        <is>
          <t>OUI</t>
        </is>
      </c>
    </row>
    <row r="7" ht="23.85" customHeight="1" s="10">
      <c r="A7" s="17" t="inlineStr">
        <is>
          <t>RED</t>
        </is>
      </c>
      <c r="B7" s="17" t="inlineStr">
        <is>
          <t>Defaut de redaction ou de justification</t>
        </is>
      </c>
      <c r="C7" s="18" t="inlineStr">
        <is>
          <t>Le resultat est juste mais la demarche n'est pas justifiee, ou la redaction ne permet pas de la suivre.</t>
        </is>
      </c>
      <c r="D7" s="18" t="inlineStr">
        <is>
          <t>Uniquement en partie B, ou la consigne precise que la demarche est evaluee autant que le resultat.</t>
        </is>
      </c>
      <c r="E7" s="18" t="inlineStr">
        <is>
          <t>MF = 4,5 cm donne sans citer le theoreme des milieux ni poser le raisonnement.</t>
        </is>
      </c>
      <c r="F7" s="17" t="n">
        <v>0.15</v>
      </c>
      <c r="G7" s="17" t="inlineStr">
        <is>
          <t>OUI</t>
        </is>
      </c>
    </row>
    <row r="8" ht="35.05" customHeight="1" s="10">
      <c r="A8" s="15" t="inlineStr">
        <is>
          <t>ATT</t>
        </is>
      </c>
      <c r="B8" s="15" t="inlineStr">
        <is>
          <t>Inattention</t>
        </is>
      </c>
      <c r="C8" s="16" t="inlineStr">
        <is>
          <t>Erreur ponctuelle, non reproductible, sans logique sous-jacente.</t>
        </is>
      </c>
      <c r="D8" s="16" t="inlineStr">
        <is>
          <t>Une seule question echoue alors que les autres questions de la meme competence sont reussis. Doit etre ECARTE au test de confirmation, jamais remedie.</t>
        </is>
      </c>
      <c r="E8" s="16" t="inlineStr">
        <is>
          <t>Recopie 5x - 7 = 2x + 8 en 5x - 7 = 2x + 3 puis resolution parfaitement correcte.</t>
        </is>
      </c>
      <c r="F8" s="15" t="n">
        <v>0</v>
      </c>
      <c r="G8" s="15" t="inlineStr">
        <is>
          <t>NON</t>
        </is>
      </c>
    </row>
  </sheetData>
  <autoFilter ref="A1:G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10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 customWidth="1" style="9" min="1" max="1"/>
    <col width="30" customWidth="1" style="9" min="2" max="2"/>
    <col width="42" customWidth="1" style="9" min="3" max="3"/>
    <col width="62" customWidth="1" style="9" min="4" max="4"/>
    <col width="17" customWidth="1" style="9" min="5" max="5"/>
    <col width="24" customWidth="1" style="9" min="6" max="6"/>
    <col width="12" customWidth="1" style="9" min="7" max="7"/>
    <col width="26" customWidth="1" style="9" min="8" max="8"/>
    <col width="14" customWidth="1" style="9" min="9" max="9"/>
    <col width="40" customWidth="1" style="9" min="10" max="10"/>
  </cols>
  <sheetData>
    <row r="1" ht="30" customHeight="1" s="10">
      <c r="A1" s="14" t="inlineStr">
        <is>
          <t>Code canonique</t>
        </is>
      </c>
      <c r="B1" s="14" t="inlineStr">
        <is>
          <t>Domaine</t>
        </is>
      </c>
      <c r="C1" s="14" t="inlineStr">
        <is>
          <t>Libelle</t>
        </is>
      </c>
      <c r="D1" s="14" t="inlineStr">
        <is>
          <t>Description</t>
        </is>
      </c>
      <c r="E1" s="14" t="inlineStr">
        <is>
          <t>Niveau d'introduction</t>
        </is>
      </c>
      <c r="F1" s="14" t="inlineStr">
        <is>
          <t>Chapitre d'origine</t>
        </is>
      </c>
      <c r="G1" s="14" t="inlineStr">
        <is>
          <t>Transversale</t>
        </is>
      </c>
      <c r="H1" s="14" t="inlineStr">
        <is>
          <t>Prerequis directs</t>
        </is>
      </c>
      <c r="I1" s="14" t="inlineStr">
        <is>
          <t>Volume horaire officiel</t>
        </is>
      </c>
      <c r="J1" s="14" t="inlineStr">
        <is>
          <t>Source du volume</t>
        </is>
      </c>
    </row>
    <row r="2" ht="23.85" customHeight="1" s="10">
      <c r="A2" s="15" t="inlineStr">
        <is>
          <t>N.NUM</t>
        </is>
      </c>
      <c r="B2" s="15" t="inlineStr">
        <is>
          <t>Activites numeriques</t>
        </is>
      </c>
      <c r="C2" s="15" t="inlineStr">
        <is>
          <t>Numeration decimale</t>
        </is>
      </c>
      <c r="D2" s="16" t="inlineStr">
        <is>
          <t>Lire, ecrire, decomposer un entier ou un decimal ; valeur de position d'un chiffre.</t>
        </is>
      </c>
      <c r="E2" s="15" t="inlineStr">
        <is>
          <t>Primaire</t>
        </is>
      </c>
      <c r="F2" s="15" t="inlineStr">
        <is>
          <t>CE2-CM2 / 6e ch2</t>
        </is>
      </c>
      <c r="G2" s="15" t="inlineStr">
        <is>
          <t>OUI</t>
        </is>
      </c>
      <c r="H2" s="15" t="n"/>
      <c r="I2" s="15" t="n">
        <v>2</v>
      </c>
      <c r="J2" s="16" t="inlineStr">
        <is>
          <t>curriculum ou guide de l'enseignant</t>
        </is>
      </c>
    </row>
    <row r="3" ht="15" customHeight="1" s="10">
      <c r="A3" s="17" t="inlineStr">
        <is>
          <t>N.CMP</t>
        </is>
      </c>
      <c r="B3" s="17" t="inlineStr">
        <is>
          <t>Activites numeriques</t>
        </is>
      </c>
      <c r="C3" s="17" t="inlineStr">
        <is>
          <t>Comparaison et rangement</t>
        </is>
      </c>
      <c r="D3" s="18" t="inlineStr">
        <is>
          <t>Comparer, ranger et encadrer des entiers et des decimaux.</t>
        </is>
      </c>
      <c r="E3" s="17" t="inlineStr">
        <is>
          <t>Primaire</t>
        </is>
      </c>
      <c r="F3" s="17" t="inlineStr">
        <is>
          <t>CM1-CM2 / 6e ch7</t>
        </is>
      </c>
      <c r="G3" s="17" t="inlineStr">
        <is>
          <t>OUI</t>
        </is>
      </c>
      <c r="H3" s="17" t="inlineStr">
        <is>
          <t>N.NUM</t>
        </is>
      </c>
      <c r="I3" s="17" t="n">
        <v>3</v>
      </c>
      <c r="J3" s="18" t="inlineStr">
        <is>
          <t>curriculum ou guide de l'enseignant</t>
        </is>
      </c>
    </row>
    <row r="4" ht="15" customHeight="1" s="10">
      <c r="A4" s="15" t="inlineStr">
        <is>
          <t>N.ADD</t>
        </is>
      </c>
      <c r="B4" s="15" t="inlineStr">
        <is>
          <t>Activites numeriques</t>
        </is>
      </c>
      <c r="C4" s="15" t="inlineStr">
        <is>
          <t>Addition et soustraction</t>
        </is>
      </c>
      <c r="D4" s="16" t="inlineStr">
        <is>
          <t>Addition et soustraction d'entiers et de decimaux, technique et sens.</t>
        </is>
      </c>
      <c r="E4" s="15" t="inlineStr">
        <is>
          <t>Primaire</t>
        </is>
      </c>
      <c r="F4" s="15" t="inlineStr">
        <is>
          <t>CE1-CM1 / 6e ch4</t>
        </is>
      </c>
      <c r="G4" s="15" t="inlineStr">
        <is>
          <t>OUI</t>
        </is>
      </c>
      <c r="H4" s="15" t="inlineStr">
        <is>
          <t>N.NUM</t>
        </is>
      </c>
      <c r="I4" s="15" t="n">
        <v>1.5</v>
      </c>
      <c r="J4" s="16" t="inlineStr">
        <is>
          <t>curriculum ou guide de l'enseignant</t>
        </is>
      </c>
    </row>
    <row r="5" ht="15" customHeight="1" s="10">
      <c r="A5" s="17" t="inlineStr">
        <is>
          <t>N.MUL</t>
        </is>
      </c>
      <c r="B5" s="17" t="inlineStr">
        <is>
          <t>Activites numeriques</t>
        </is>
      </c>
      <c r="C5" s="17" t="inlineStr">
        <is>
          <t>Multiplication</t>
        </is>
      </c>
      <c r="D5" s="18" t="inlineStr">
        <is>
          <t>Multiplication d'entiers et de decimaux, technique et sens.</t>
        </is>
      </c>
      <c r="E5" s="17" t="inlineStr">
        <is>
          <t>Primaire</t>
        </is>
      </c>
      <c r="F5" s="17" t="inlineStr">
        <is>
          <t>CM1-CM2 / 6e ch4</t>
        </is>
      </c>
      <c r="G5" s="17" t="inlineStr">
        <is>
          <t>OUI</t>
        </is>
      </c>
      <c r="H5" s="17" t="inlineStr">
        <is>
          <t>N.NUM</t>
        </is>
      </c>
      <c r="I5" s="17" t="n">
        <v>1.5</v>
      </c>
      <c r="J5" s="18" t="inlineStr">
        <is>
          <t>curriculum ou guide de l'enseignant</t>
        </is>
      </c>
    </row>
    <row r="6" ht="15" customHeight="1" s="10">
      <c r="A6" s="15" t="inlineStr">
        <is>
          <t>N.DIVE</t>
        </is>
      </c>
      <c r="B6" s="15" t="inlineStr">
        <is>
          <t>Activites numeriques</t>
        </is>
      </c>
      <c r="C6" s="15" t="inlineStr">
        <is>
          <t>Division euclidienne et decimale</t>
        </is>
      </c>
      <c r="D6" s="16" t="inlineStr">
        <is>
          <t>Quotient et reste ; division decimale ; sens de la division.</t>
        </is>
      </c>
      <c r="E6" s="15" t="inlineStr">
        <is>
          <t>Primaire</t>
        </is>
      </c>
      <c r="F6" s="15" t="inlineStr">
        <is>
          <t>CM1-CM2 / 6e ch4</t>
        </is>
      </c>
      <c r="G6" s="15" t="inlineStr">
        <is>
          <t>OUI</t>
        </is>
      </c>
      <c r="H6" s="15" t="inlineStr">
        <is>
          <t>N.MUL</t>
        </is>
      </c>
      <c r="I6" s="15" t="n">
        <v>1.5</v>
      </c>
      <c r="J6" s="16" t="inlineStr">
        <is>
          <t>curriculum ou guide de l'enseignant</t>
        </is>
      </c>
    </row>
    <row r="7" ht="15" customHeight="1" s="10">
      <c r="A7" s="17" t="inlineStr">
        <is>
          <t>N.PRIO</t>
        </is>
      </c>
      <c r="B7" s="17" t="inlineStr">
        <is>
          <t>Activites numeriques</t>
        </is>
      </c>
      <c r="C7" s="17" t="inlineStr">
        <is>
          <t>Priorites operatoires</t>
        </is>
      </c>
      <c r="D7" s="18" t="inlineStr">
        <is>
          <t>Regles de priorite, parentheses, proprietes des operations.</t>
        </is>
      </c>
      <c r="E7" s="17" t="inlineStr">
        <is>
          <t>6eme</t>
        </is>
      </c>
      <c r="F7" s="17" t="inlineStr">
        <is>
          <t>6e ch4</t>
        </is>
      </c>
      <c r="G7" s="17" t="inlineStr">
        <is>
          <t>OUI</t>
        </is>
      </c>
      <c r="H7" s="17" t="inlineStr">
        <is>
          <t>N.ADD ; N.MUL</t>
        </is>
      </c>
      <c r="I7" s="17" t="n">
        <v>1.5</v>
      </c>
      <c r="J7" s="18" t="inlineStr">
        <is>
          <t>curriculum ou guide de l'enseignant</t>
        </is>
      </c>
    </row>
    <row r="8" ht="15" customHeight="1" s="10">
      <c r="A8" s="15" t="inlineStr">
        <is>
          <t>N.AST</t>
        </is>
      </c>
      <c r="B8" s="15" t="inlineStr">
        <is>
          <t>Activites numeriques</t>
        </is>
      </c>
      <c r="C8" s="15" t="inlineStr">
        <is>
          <t>Calcul astucieux</t>
        </is>
      </c>
      <c r="D8" s="16" t="inlineStr">
        <is>
          <t>Mobiliser les proprietes des operations pour simplifier un calcul.</t>
        </is>
      </c>
      <c r="E8" s="15" t="inlineStr">
        <is>
          <t>6eme</t>
        </is>
      </c>
      <c r="F8" s="15" t="inlineStr">
        <is>
          <t>6e ch4</t>
        </is>
      </c>
      <c r="G8" s="15" t="inlineStr">
        <is>
          <t>non</t>
        </is>
      </c>
      <c r="H8" s="15" t="inlineStr">
        <is>
          <t>N.PRIO</t>
        </is>
      </c>
      <c r="I8" s="15" t="n">
        <v>1.5</v>
      </c>
      <c r="J8" s="16" t="inlineStr">
        <is>
          <t>curriculum ou guide de l'enseignant</t>
        </is>
      </c>
    </row>
    <row r="9" ht="15" customHeight="1" s="10">
      <c r="A9" s="17" t="inlineStr">
        <is>
          <t>N.PROB</t>
        </is>
      </c>
      <c r="B9" s="17" t="inlineStr">
        <is>
          <t>Activites numeriques</t>
        </is>
      </c>
      <c r="C9" s="17" t="inlineStr">
        <is>
          <t>Choix de l'operation</t>
        </is>
      </c>
      <c r="D9" s="18" t="inlineStr">
        <is>
          <t>Choisir la bonne operation dans un probleme a une ou deux etapes.</t>
        </is>
      </c>
      <c r="E9" s="17" t="inlineStr">
        <is>
          <t>Primaire</t>
        </is>
      </c>
      <c r="F9" s="17" t="inlineStr">
        <is>
          <t>CM1-CM2</t>
        </is>
      </c>
      <c r="G9" s="17" t="inlineStr">
        <is>
          <t>OUI</t>
        </is>
      </c>
      <c r="H9" s="17" t="inlineStr">
        <is>
          <t>N.ADD ; N.MUL ; N.DIVE</t>
        </is>
      </c>
      <c r="I9" s="17" t="n">
        <v>4</v>
      </c>
      <c r="J9" s="18" t="inlineStr">
        <is>
          <t>estimation (acquis du primaire, non chiffre)</t>
        </is>
      </c>
    </row>
    <row r="10" ht="15" customHeight="1" s="10">
      <c r="A10" s="15" t="inlineStr">
        <is>
          <t>N.FRA1</t>
        </is>
      </c>
      <c r="B10" s="15" t="inlineStr">
        <is>
          <t>Activites numeriques</t>
        </is>
      </c>
      <c r="C10" s="15" t="inlineStr">
        <is>
          <t>Fractions : sens et comparaison</t>
        </is>
      </c>
      <c r="D10" s="16" t="inlineStr">
        <is>
          <t>Sens de la fraction, fraction d'une quantite, simplification, comparaison.</t>
        </is>
      </c>
      <c r="E10" s="15" t="inlineStr">
        <is>
          <t>Primaire</t>
        </is>
      </c>
      <c r="F10" s="15" t="inlineStr">
        <is>
          <t>CM1-CM2 / 6e ch12</t>
        </is>
      </c>
      <c r="G10" s="15" t="inlineStr">
        <is>
          <t>OUI</t>
        </is>
      </c>
      <c r="H10" s="15" t="inlineStr">
        <is>
          <t>N.DIVE</t>
        </is>
      </c>
      <c r="I10" s="15" t="n">
        <v>8</v>
      </c>
      <c r="J10" s="16" t="inlineStr">
        <is>
          <t>curriculum ou guide de l'enseignant</t>
        </is>
      </c>
    </row>
    <row r="11" ht="15" customHeight="1" s="10">
      <c r="A11" s="17" t="inlineStr">
        <is>
          <t>N.EGT</t>
        </is>
      </c>
      <c r="B11" s="17" t="inlineStr">
        <is>
          <t>Activites numeriques</t>
        </is>
      </c>
      <c r="C11" s="17" t="inlineStr">
        <is>
          <t>Egalites a trous</t>
        </is>
      </c>
      <c r="D11" s="18" t="inlineStr">
        <is>
          <t>Determiner le terme manquant dans une egalite numerique.</t>
        </is>
      </c>
      <c r="E11" s="17" t="inlineStr">
        <is>
          <t>6eme</t>
        </is>
      </c>
      <c r="F11" s="17" t="inlineStr">
        <is>
          <t>6e ch13</t>
        </is>
      </c>
      <c r="G11" s="17" t="inlineStr">
        <is>
          <t>non</t>
        </is>
      </c>
      <c r="H11" s="17" t="inlineStr">
        <is>
          <t>N.ADD ; N.MUL</t>
        </is>
      </c>
      <c r="I11" s="17" t="n">
        <v>2</v>
      </c>
      <c r="J11" s="18" t="inlineStr">
        <is>
          <t>curriculum ou guide de l'enseignant</t>
        </is>
      </c>
    </row>
    <row r="12" ht="15" customHeight="1" s="10">
      <c r="A12" s="15" t="inlineStr">
        <is>
          <t>N.REL</t>
        </is>
      </c>
      <c r="B12" s="15" t="inlineStr">
        <is>
          <t>Activites numeriques</t>
        </is>
      </c>
      <c r="C12" s="15" t="inlineStr">
        <is>
          <t>Nombres relatifs : reperage</t>
        </is>
      </c>
      <c r="D12" s="16" t="inlineStr">
        <is>
          <t>Reperage, comparaison et rangement des nombres relatifs.</t>
        </is>
      </c>
      <c r="E12" s="15" t="inlineStr">
        <is>
          <t>6eme</t>
        </is>
      </c>
      <c r="F12" s="15" t="inlineStr">
        <is>
          <t>6e ch14</t>
        </is>
      </c>
      <c r="G12" s="15" t="inlineStr">
        <is>
          <t>OUI</t>
        </is>
      </c>
      <c r="H12" s="15" t="inlineStr">
        <is>
          <t>N.CMP</t>
        </is>
      </c>
      <c r="I12" s="15" t="n">
        <v>5</v>
      </c>
      <c r="J12" s="16" t="inlineStr">
        <is>
          <t>curriculum ou guide de l'enseignant</t>
        </is>
      </c>
    </row>
    <row r="13" ht="15" customHeight="1" s="10">
      <c r="A13" s="17" t="inlineStr">
        <is>
          <t>N.RELOP</t>
        </is>
      </c>
      <c r="B13" s="17" t="inlineStr">
        <is>
          <t>Activites numeriques</t>
        </is>
      </c>
      <c r="C13" s="17" t="inlineStr">
        <is>
          <t>Operations sur les relatifs</t>
        </is>
      </c>
      <c r="D13" s="18" t="inlineStr">
        <is>
          <t>Addition et soustraction dans D ; regle des signes.</t>
        </is>
      </c>
      <c r="E13" s="17" t="inlineStr">
        <is>
          <t>5eme</t>
        </is>
      </c>
      <c r="F13" s="17" t="inlineStr">
        <is>
          <t>5e ch7</t>
        </is>
      </c>
      <c r="G13" s="17" t="inlineStr">
        <is>
          <t>OUI</t>
        </is>
      </c>
      <c r="H13" s="17" t="inlineStr">
        <is>
          <t>N.REL ; N.ADD</t>
        </is>
      </c>
      <c r="I13" s="17" t="n">
        <v>7</v>
      </c>
      <c r="J13" s="18" t="inlineStr">
        <is>
          <t>curriculum ou guide de l'enseignant</t>
        </is>
      </c>
    </row>
    <row r="14" ht="15" customHeight="1" s="10">
      <c r="A14" s="15" t="inlineStr">
        <is>
          <t>N.DIVIS</t>
        </is>
      </c>
      <c r="B14" s="15" t="inlineStr">
        <is>
          <t>Activites numeriques</t>
        </is>
      </c>
      <c r="C14" s="15" t="inlineStr">
        <is>
          <t>Multiples, diviseurs, premiers</t>
        </is>
      </c>
      <c r="D14" s="16" t="inlineStr">
        <is>
          <t>Criteres de divisibilite, multiples, diviseurs, nombres premiers.</t>
        </is>
      </c>
      <c r="E14" s="15" t="inlineStr">
        <is>
          <t>5eme</t>
        </is>
      </c>
      <c r="F14" s="15" t="inlineStr">
        <is>
          <t>5e ch2</t>
        </is>
      </c>
      <c r="G14" s="15" t="inlineStr">
        <is>
          <t>non</t>
        </is>
      </c>
      <c r="H14" s="15" t="inlineStr">
        <is>
          <t>N.DIVE</t>
        </is>
      </c>
      <c r="I14" s="15" t="n">
        <v>8</v>
      </c>
      <c r="J14" s="16" t="inlineStr">
        <is>
          <t>curriculum ou guide de l'enseignant</t>
        </is>
      </c>
    </row>
    <row r="15" ht="15" customHeight="1" s="10">
      <c r="A15" s="17" t="inlineStr">
        <is>
          <t>N.PGCD</t>
        </is>
      </c>
      <c r="B15" s="17" t="inlineStr">
        <is>
          <t>Activites numeriques</t>
        </is>
      </c>
      <c r="C15" s="17" t="inlineStr">
        <is>
          <t>PGCD et PPCM</t>
        </is>
      </c>
      <c r="D15" s="18" t="inlineStr">
        <is>
          <t>Calcul du PGCD et du PPCM ; fraction irreductible, partage.</t>
        </is>
      </c>
      <c r="E15" s="17" t="inlineStr">
        <is>
          <t>5eme</t>
        </is>
      </c>
      <c r="F15" s="17" t="inlineStr">
        <is>
          <t>5e ch4</t>
        </is>
      </c>
      <c r="G15" s="17" t="inlineStr">
        <is>
          <t>non</t>
        </is>
      </c>
      <c r="H15" s="17" t="inlineStr">
        <is>
          <t>N.DIVIS</t>
        </is>
      </c>
      <c r="I15" s="17" t="n">
        <v>10</v>
      </c>
      <c r="J15" s="18" t="inlineStr">
        <is>
          <t>curriculum ou guide de l'enseignant</t>
        </is>
      </c>
    </row>
    <row r="16" ht="15" customHeight="1" s="10">
      <c r="A16" s="15" t="inlineStr">
        <is>
          <t>N.FRA2</t>
        </is>
      </c>
      <c r="B16" s="15" t="inlineStr">
        <is>
          <t>Activites numeriques</t>
        </is>
      </c>
      <c r="C16" s="15" t="inlineStr">
        <is>
          <t>Operations sur les fractions</t>
        </is>
      </c>
      <c r="D16" s="16" t="inlineStr">
        <is>
          <t>Somme, difference, produit et quotient de fractions.</t>
        </is>
      </c>
      <c r="E16" s="15" t="inlineStr">
        <is>
          <t>5eme</t>
        </is>
      </c>
      <c r="F16" s="15" t="inlineStr">
        <is>
          <t>5e ch5</t>
        </is>
      </c>
      <c r="G16" s="15" t="inlineStr">
        <is>
          <t>OUI</t>
        </is>
      </c>
      <c r="H16" s="15" t="inlineStr">
        <is>
          <t>N.FRA1 ; N.PGCD</t>
        </is>
      </c>
      <c r="I16" s="15" t="n">
        <v>6</v>
      </c>
      <c r="J16" s="16" t="inlineStr">
        <is>
          <t>curriculum ou guide de l'enseignant</t>
        </is>
      </c>
    </row>
    <row r="17" ht="15" customHeight="1" s="10">
      <c r="A17" s="17" t="inlineStr">
        <is>
          <t>N.VAB</t>
        </is>
      </c>
      <c r="B17" s="17" t="inlineStr">
        <is>
          <t>Activites numeriques</t>
        </is>
      </c>
      <c r="C17" s="17" t="inlineStr">
        <is>
          <t>Valeur absolue</t>
        </is>
      </c>
      <c r="D17" s="18" t="inlineStr">
        <is>
          <t>Valeur absolue et comparaison de nombres relatifs.</t>
        </is>
      </c>
      <c r="E17" s="17" t="inlineStr">
        <is>
          <t>5eme</t>
        </is>
      </c>
      <c r="F17" s="17" t="inlineStr">
        <is>
          <t>5e ch8</t>
        </is>
      </c>
      <c r="G17" s="17" t="inlineStr">
        <is>
          <t>non</t>
        </is>
      </c>
      <c r="H17" s="17" t="inlineStr">
        <is>
          <t>N.REL</t>
        </is>
      </c>
      <c r="I17" s="17" t="n">
        <v>4</v>
      </c>
      <c r="J17" s="18" t="inlineStr">
        <is>
          <t>curriculum ou guide de l'enseignant</t>
        </is>
      </c>
    </row>
    <row r="18" ht="15" customHeight="1" s="10">
      <c r="A18" s="15" t="inlineStr">
        <is>
          <t>N.PUI</t>
        </is>
      </c>
      <c r="B18" s="15" t="inlineStr">
        <is>
          <t>Activites numeriques</t>
        </is>
      </c>
      <c r="C18" s="15" t="inlineStr">
        <is>
          <t>Puissances entieres</t>
        </is>
      </c>
      <c r="D18" s="16" t="inlineStr">
        <is>
          <t>Puissances entieres d'un nombre et regles de calcul.</t>
        </is>
      </c>
      <c r="E18" s="15" t="inlineStr">
        <is>
          <t>5eme</t>
        </is>
      </c>
      <c r="F18" s="15" t="inlineStr">
        <is>
          <t>5e ch11</t>
        </is>
      </c>
      <c r="G18" s="15" t="inlineStr">
        <is>
          <t>OUI</t>
        </is>
      </c>
      <c r="H18" s="15" t="inlineStr">
        <is>
          <t>N.MUL</t>
        </is>
      </c>
      <c r="I18" s="15" t="n">
        <v>4</v>
      </c>
      <c r="J18" s="16" t="inlineStr">
        <is>
          <t>curriculum ou guide de l'enseignant</t>
        </is>
      </c>
    </row>
    <row r="19" ht="15" customHeight="1" s="10">
      <c r="A19" s="17" t="inlineStr">
        <is>
          <t>N.MULD</t>
        </is>
      </c>
      <c r="B19" s="17" t="inlineStr">
        <is>
          <t>Activites numeriques</t>
        </is>
      </c>
      <c r="C19" s="17" t="inlineStr">
        <is>
          <t>Multiplication dans D</t>
        </is>
      </c>
      <c r="D19" s="18" t="inlineStr">
        <is>
          <t>Multiplication dans D ; developpement et factorisation numeriques simples.</t>
        </is>
      </c>
      <c r="E19" s="17" t="inlineStr">
        <is>
          <t>5eme</t>
        </is>
      </c>
      <c r="F19" s="17" t="inlineStr">
        <is>
          <t>5e ch10</t>
        </is>
      </c>
      <c r="G19" s="17" t="inlineStr">
        <is>
          <t>non</t>
        </is>
      </c>
      <c r="H19" s="17" t="inlineStr">
        <is>
          <t>N.MUL ; N.RELOP</t>
        </is>
      </c>
      <c r="I19" s="17" t="n">
        <v>4.5</v>
      </c>
      <c r="J19" s="18" t="inlineStr">
        <is>
          <t>curriculum ou guide de l'enseignant</t>
        </is>
      </c>
    </row>
    <row r="20" ht="15" customHeight="1" s="10">
      <c r="A20" s="15" t="inlineStr">
        <is>
          <t>N.SCI</t>
        </is>
      </c>
      <c r="B20" s="15" t="inlineStr">
        <is>
          <t>Activites numeriques</t>
        </is>
      </c>
      <c r="C20" s="15" t="inlineStr">
        <is>
          <t>Puissances de dix et ecriture scientifique</t>
        </is>
      </c>
      <c r="D20" s="16" t="inlineStr">
        <is>
          <t>Puissances de dix, ecriture scientifique, ordre de grandeur.</t>
        </is>
      </c>
      <c r="E20" s="15" t="inlineStr">
        <is>
          <t>4eme</t>
        </is>
      </c>
      <c r="F20" s="15" t="inlineStr">
        <is>
          <t>4e ch2</t>
        </is>
      </c>
      <c r="G20" s="15" t="inlineStr">
        <is>
          <t>OUI</t>
        </is>
      </c>
      <c r="H20" s="15" t="inlineStr">
        <is>
          <t>N.PUI</t>
        </is>
      </c>
      <c r="I20" s="15" t="n">
        <v>5</v>
      </c>
      <c r="J20" s="16" t="inlineStr">
        <is>
          <t>curriculum ou guide de l'enseignant</t>
        </is>
      </c>
    </row>
    <row r="21" ht="15" customHeight="1" s="10">
      <c r="A21" s="17" t="inlineStr">
        <is>
          <t>N.RAT</t>
        </is>
      </c>
      <c r="B21" s="17" t="inlineStr">
        <is>
          <t>Activites numeriques</t>
        </is>
      </c>
      <c r="C21" s="17" t="inlineStr">
        <is>
          <t>Quotients de relatifs et rationnels</t>
        </is>
      </c>
      <c r="D21" s="18" t="inlineStr">
        <is>
          <t>Calcul sur les quotients de relatifs et les nombres rationnels.</t>
        </is>
      </c>
      <c r="E21" s="17" t="inlineStr">
        <is>
          <t>4eme</t>
        </is>
      </c>
      <c r="F21" s="17" t="inlineStr">
        <is>
          <t>4e ch5, ch8</t>
        </is>
      </c>
      <c r="G21" s="17" t="inlineStr">
        <is>
          <t>OUI</t>
        </is>
      </c>
      <c r="H21" s="17" t="inlineStr">
        <is>
          <t>N.FRA2 ; N.RELOP</t>
        </is>
      </c>
      <c r="I21" s="17" t="n">
        <v>15</v>
      </c>
      <c r="J21" s="18" t="inlineStr">
        <is>
          <t>curriculum ou guide de l'enseignant</t>
        </is>
      </c>
    </row>
    <row r="22" ht="15" customHeight="1" s="10">
      <c r="A22" s="15" t="inlineStr">
        <is>
          <t>N.ENS</t>
        </is>
      </c>
      <c r="B22" s="15" t="inlineStr">
        <is>
          <t>Activites numeriques</t>
        </is>
      </c>
      <c r="C22" s="15" t="inlineStr">
        <is>
          <t>Ensembles de nombres</t>
        </is>
      </c>
      <c r="D22" s="16" t="inlineStr">
        <is>
          <t>Appartenance et inclusion (N, D, Z, Q, R) par l'emploi.</t>
        </is>
      </c>
      <c r="E22" s="15" t="inlineStr">
        <is>
          <t>4eme</t>
        </is>
      </c>
      <c r="F22" s="15" t="inlineStr">
        <is>
          <t>4e ch8, ch10</t>
        </is>
      </c>
      <c r="G22" s="15" t="inlineStr">
        <is>
          <t>non</t>
        </is>
      </c>
      <c r="H22" s="15" t="inlineStr">
        <is>
          <t>N.RAT</t>
        </is>
      </c>
      <c r="I22" s="15" t="n">
        <v>7.5</v>
      </c>
      <c r="J22" s="16" t="inlineStr">
        <is>
          <t>curriculum ou guide de l'enseignant</t>
        </is>
      </c>
    </row>
    <row r="23" ht="15" customHeight="1" s="10">
      <c r="A23" s="17" t="inlineStr">
        <is>
          <t>N.APP</t>
        </is>
      </c>
      <c r="B23" s="17" t="inlineStr">
        <is>
          <t>Activites numeriques</t>
        </is>
      </c>
      <c r="C23" s="17" t="inlineStr">
        <is>
          <t>Approximation et encadrement</t>
        </is>
      </c>
      <c r="D23" s="18" t="inlineStr">
        <is>
          <t>Approximation decimale, encadrement, ordre de grandeur.</t>
        </is>
      </c>
      <c r="E23" s="17" t="inlineStr">
        <is>
          <t>4eme</t>
        </is>
      </c>
      <c r="F23" s="17" t="inlineStr">
        <is>
          <t>4e ch10</t>
        </is>
      </c>
      <c r="G23" s="17" t="inlineStr">
        <is>
          <t>OUI</t>
        </is>
      </c>
      <c r="H23" s="17" t="inlineStr">
        <is>
          <t>N.CMP</t>
        </is>
      </c>
      <c r="I23" s="17" t="n">
        <v>2.5</v>
      </c>
      <c r="J23" s="18" t="inlineStr">
        <is>
          <t>curriculum ou guide de l'enseignant</t>
        </is>
      </c>
    </row>
    <row r="24" ht="15" customHeight="1" s="10">
      <c r="A24" s="15" t="inlineStr">
        <is>
          <t>N.RAC</t>
        </is>
      </c>
      <c r="B24" s="15" t="inlineStr">
        <is>
          <t>Activites numeriques</t>
        </is>
      </c>
      <c r="C24" s="15" t="inlineStr">
        <is>
          <t>Racines carrees et radicaux</t>
        </is>
      </c>
      <c r="D24" s="16" t="inlineStr">
        <is>
          <t>Racine carree, simplification de radicaux, calcul.</t>
        </is>
      </c>
      <c r="E24" s="15" t="inlineStr">
        <is>
          <t>3eme</t>
        </is>
      </c>
      <c r="F24" s="15" t="inlineStr">
        <is>
          <t>3e ch4</t>
        </is>
      </c>
      <c r="G24" s="15" t="inlineStr">
        <is>
          <t>OUI</t>
        </is>
      </c>
      <c r="H24" s="15" t="inlineStr">
        <is>
          <t>N.PUI</t>
        </is>
      </c>
      <c r="I24" s="15" t="n">
        <v>5</v>
      </c>
      <c r="J24" s="16" t="inlineStr">
        <is>
          <t>curriculum ou guide de l'enseignant</t>
        </is>
      </c>
    </row>
    <row r="25" ht="15" customHeight="1" s="10">
      <c r="A25" s="17" t="inlineStr">
        <is>
          <t>N.INT</t>
        </is>
      </c>
      <c r="B25" s="17" t="inlineStr">
        <is>
          <t>Activites numeriques</t>
        </is>
      </c>
      <c r="C25" s="17" t="inlineStr">
        <is>
          <t>Intervalles et distance</t>
        </is>
      </c>
      <c r="D25" s="18" t="inlineStr">
        <is>
          <t>Intervalles, encadrement, valeur absolue et distance sur une droite.</t>
        </is>
      </c>
      <c r="E25" s="17" t="inlineStr">
        <is>
          <t>3eme</t>
        </is>
      </c>
      <c r="F25" s="17" t="inlineStr">
        <is>
          <t>3e ch1</t>
        </is>
      </c>
      <c r="G25" s="17" t="inlineStr">
        <is>
          <t>non</t>
        </is>
      </c>
      <c r="H25" s="17" t="inlineStr">
        <is>
          <t>N.VAB ; N.APP</t>
        </is>
      </c>
      <c r="I25" s="17" t="n">
        <v>7</v>
      </c>
      <c r="J25" s="18" t="inlineStr">
        <is>
          <t>curriculum ou guide de l'enseignant</t>
        </is>
      </c>
    </row>
    <row r="26" ht="23.85" customHeight="1" s="10">
      <c r="A26" s="15" t="inlineStr">
        <is>
          <t>N.MAJ</t>
        </is>
      </c>
      <c r="B26" s="15" t="inlineStr">
        <is>
          <t>Activites numeriques</t>
        </is>
      </c>
      <c r="C26" s="15" t="inlineStr">
        <is>
          <t>Majorant, minorant</t>
        </is>
      </c>
      <c r="D26" s="16" t="inlineStr">
        <is>
          <t>Majorant, minorant, bornes d'un ensemble ou d'un intervalle.</t>
        </is>
      </c>
      <c r="E26" s="15" t="inlineStr">
        <is>
          <t>2ndeC</t>
        </is>
      </c>
      <c r="F26" s="15" t="inlineStr">
        <is>
          <t>2nde ch1</t>
        </is>
      </c>
      <c r="G26" s="15" t="inlineStr">
        <is>
          <t>non</t>
        </is>
      </c>
      <c r="H26" s="15" t="inlineStr">
        <is>
          <t>N.INT</t>
        </is>
      </c>
      <c r="I26" s="15" t="inlineStr">
        <is>
          <t>non disponible</t>
        </is>
      </c>
      <c r="J26" s="16" t="inlineStr">
        <is>
          <t>lycee : pas de volume par chapitre dans les documents officiels</t>
        </is>
      </c>
    </row>
    <row r="27" ht="15" customHeight="1" s="10">
      <c r="A27" s="17" t="inlineStr">
        <is>
          <t>L.EGA</t>
        </is>
      </c>
      <c r="B27" s="17" t="inlineStr">
        <is>
          <t>Calcul litteral et algebre</t>
        </is>
      </c>
      <c r="C27" s="17" t="inlineStr">
        <is>
          <t>Egalites et transformations</t>
        </is>
      </c>
      <c r="D27" s="18" t="inlineStr">
        <is>
          <t>Regles de transformation d'une egalite (ajouter, multiplier des deux cotes).</t>
        </is>
      </c>
      <c r="E27" s="17" t="inlineStr">
        <is>
          <t>5eme</t>
        </is>
      </c>
      <c r="F27" s="17" t="inlineStr">
        <is>
          <t>5e ch13</t>
        </is>
      </c>
      <c r="G27" s="17" t="inlineStr">
        <is>
          <t>OUI</t>
        </is>
      </c>
      <c r="H27" s="17" t="inlineStr">
        <is>
          <t>N.PRIO</t>
        </is>
      </c>
      <c r="I27" s="17" t="n">
        <v>2</v>
      </c>
      <c r="J27" s="18" t="inlineStr">
        <is>
          <t>curriculum ou guide de l'enseignant</t>
        </is>
      </c>
    </row>
    <row r="28" ht="15" customHeight="1" s="10">
      <c r="A28" s="15" t="inlineStr">
        <is>
          <t>L.EQD</t>
        </is>
      </c>
      <c r="B28" s="15" t="inlineStr">
        <is>
          <t>Calcul litteral et algebre</t>
        </is>
      </c>
      <c r="C28" s="15" t="inlineStr">
        <is>
          <t>Equations dans D</t>
        </is>
      </c>
      <c r="D28" s="16" t="inlineStr">
        <is>
          <t>Resoudre une equation du premier degre a coefficients decimaux.</t>
        </is>
      </c>
      <c r="E28" s="15" t="inlineStr">
        <is>
          <t>5eme</t>
        </is>
      </c>
      <c r="F28" s="15" t="inlineStr">
        <is>
          <t>5e ch14</t>
        </is>
      </c>
      <c r="G28" s="15" t="inlineStr">
        <is>
          <t>non</t>
        </is>
      </c>
      <c r="H28" s="15" t="inlineStr">
        <is>
          <t>L.EGA</t>
        </is>
      </c>
      <c r="I28" s="15" t="n">
        <v>4</v>
      </c>
      <c r="J28" s="16" t="inlineStr">
        <is>
          <t>curriculum ou guide de l'enseignant</t>
        </is>
      </c>
    </row>
    <row r="29" ht="15" customHeight="1" s="10">
      <c r="A29" s="17" t="inlineStr">
        <is>
          <t>L.DEV1</t>
        </is>
      </c>
      <c r="B29" s="17" t="inlineStr">
        <is>
          <t>Calcul litteral et algebre</t>
        </is>
      </c>
      <c r="C29" s="17" t="inlineStr">
        <is>
          <t>Developpement et reduction</t>
        </is>
      </c>
      <c r="D29" s="18" t="inlineStr">
        <is>
          <t>Distributivite simple et double ; reduction d'une expression litterale.</t>
        </is>
      </c>
      <c r="E29" s="17" t="inlineStr">
        <is>
          <t>5eme</t>
        </is>
      </c>
      <c r="F29" s="17" t="inlineStr">
        <is>
          <t>5e ch10 / 4e ch15</t>
        </is>
      </c>
      <c r="G29" s="17" t="inlineStr">
        <is>
          <t>OUI</t>
        </is>
      </c>
      <c r="H29" s="17" t="inlineStr">
        <is>
          <t>N.MULD ; N.RELOP</t>
        </is>
      </c>
      <c r="I29" s="17" t="n">
        <v>4.5</v>
      </c>
      <c r="J29" s="18" t="inlineStr">
        <is>
          <t>curriculum ou guide de l'enseignant</t>
        </is>
      </c>
    </row>
    <row r="30" ht="15" customHeight="1" s="10">
      <c r="A30" s="15" t="inlineStr">
        <is>
          <t>L.FAC1</t>
        </is>
      </c>
      <c r="B30" s="15" t="inlineStr">
        <is>
          <t>Calcul litteral et algebre</t>
        </is>
      </c>
      <c r="C30" s="15" t="inlineStr">
        <is>
          <t>Factorisation par facteur commun</t>
        </is>
      </c>
      <c r="D30" s="16" t="inlineStr">
        <is>
          <t>Reconnaitre et mettre en evidence un facteur commun.</t>
        </is>
      </c>
      <c r="E30" s="15" t="inlineStr">
        <is>
          <t>4eme</t>
        </is>
      </c>
      <c r="F30" s="15" t="inlineStr">
        <is>
          <t>4e ch15</t>
        </is>
      </c>
      <c r="G30" s="15" t="inlineStr">
        <is>
          <t>OUI</t>
        </is>
      </c>
      <c r="H30" s="15" t="inlineStr">
        <is>
          <t>L.DEV1</t>
        </is>
      </c>
      <c r="I30" s="15" t="n">
        <v>2</v>
      </c>
      <c r="J30" s="16" t="inlineStr">
        <is>
          <t>curriculum ou guide de l'enseignant</t>
        </is>
      </c>
    </row>
    <row r="31" ht="15" customHeight="1" s="10">
      <c r="A31" s="17" t="inlineStr">
        <is>
          <t>L.IDR</t>
        </is>
      </c>
      <c r="B31" s="17" t="inlineStr">
        <is>
          <t>Calcul litteral et algebre</t>
        </is>
      </c>
      <c r="C31" s="17" t="inlineStr">
        <is>
          <t>Identites remarquables : developpement</t>
        </is>
      </c>
      <c r="D31" s="18" t="inlineStr">
        <is>
          <t>Developper (a+b)^2, (a-b)^2, (a+b)(a-b).</t>
        </is>
      </c>
      <c r="E31" s="17" t="inlineStr">
        <is>
          <t>4eme</t>
        </is>
      </c>
      <c r="F31" s="17" t="inlineStr">
        <is>
          <t>4e ch15 / 3e ch9</t>
        </is>
      </c>
      <c r="G31" s="17" t="inlineStr">
        <is>
          <t>OUI</t>
        </is>
      </c>
      <c r="H31" s="17" t="inlineStr">
        <is>
          <t>L.DEV1</t>
        </is>
      </c>
      <c r="I31" s="17" t="n">
        <v>2</v>
      </c>
      <c r="J31" s="18" t="inlineStr">
        <is>
          <t>curriculum ou guide de l'enseignant</t>
        </is>
      </c>
    </row>
    <row r="32" ht="15" customHeight="1" s="10">
      <c r="A32" s="15" t="inlineStr">
        <is>
          <t>L.FAC2</t>
        </is>
      </c>
      <c r="B32" s="15" t="inlineStr">
        <is>
          <t>Calcul litteral et algebre</t>
        </is>
      </c>
      <c r="C32" s="15" t="inlineStr">
        <is>
          <t>Factorisation par identite remarquable</t>
        </is>
      </c>
      <c r="D32" s="16" t="inlineStr">
        <is>
          <t>Reconnaitre et factoriser a l'aide d'une identite remarquable.</t>
        </is>
      </c>
      <c r="E32" s="15" t="inlineStr">
        <is>
          <t>3eme</t>
        </is>
      </c>
      <c r="F32" s="15" t="inlineStr">
        <is>
          <t>3e ch9</t>
        </is>
      </c>
      <c r="G32" s="15" t="inlineStr">
        <is>
          <t>OUI</t>
        </is>
      </c>
      <c r="H32" s="15" t="inlineStr">
        <is>
          <t>L.IDR ; L.FAC1</t>
        </is>
      </c>
      <c r="I32" s="15" t="n">
        <v>4</v>
      </c>
      <c r="J32" s="16" t="inlineStr">
        <is>
          <t>curriculum ou guide de l'enseignant</t>
        </is>
      </c>
    </row>
    <row r="33" ht="23.85" customHeight="1" s="10">
      <c r="A33" s="17" t="inlineStr">
        <is>
          <t>L.EQ1</t>
        </is>
      </c>
      <c r="B33" s="17" t="inlineStr">
        <is>
          <t>Calcul litteral et algebre</t>
        </is>
      </c>
      <c r="C33" s="17" t="inlineStr">
        <is>
          <t>Equations du premier degre dans R</t>
        </is>
      </c>
      <c r="D33" s="18" t="inlineStr">
        <is>
          <t>Resoudre une equation du premier degre, y compris a coefficients fractionnaires.</t>
        </is>
      </c>
      <c r="E33" s="17" t="inlineStr">
        <is>
          <t>4eme</t>
        </is>
      </c>
      <c r="F33" s="17" t="inlineStr">
        <is>
          <t>4e ch16</t>
        </is>
      </c>
      <c r="G33" s="17" t="inlineStr">
        <is>
          <t>OUI</t>
        </is>
      </c>
      <c r="H33" s="17" t="inlineStr">
        <is>
          <t>L.EQD ; N.RAT</t>
        </is>
      </c>
      <c r="I33" s="17" t="n">
        <v>1.5</v>
      </c>
      <c r="J33" s="18" t="inlineStr">
        <is>
          <t>curriculum ou guide de l'enseignant</t>
        </is>
      </c>
    </row>
    <row r="34" ht="15" customHeight="1" s="10">
      <c r="A34" s="15" t="inlineStr">
        <is>
          <t>L.INEQ1</t>
        </is>
      </c>
      <c r="B34" s="15" t="inlineStr">
        <is>
          <t>Calcul litteral et algebre</t>
        </is>
      </c>
      <c r="C34" s="15" t="inlineStr">
        <is>
          <t>Inequations du premier degre</t>
        </is>
      </c>
      <c r="D34" s="16" t="inlineStr">
        <is>
          <t>Resoudre et representer les solutions d'une inequation du premier degre.</t>
        </is>
      </c>
      <c r="E34" s="15" t="inlineStr">
        <is>
          <t>4eme</t>
        </is>
      </c>
      <c r="F34" s="15" t="inlineStr">
        <is>
          <t>4e ch16 / 3e ch7</t>
        </is>
      </c>
      <c r="G34" s="15" t="inlineStr">
        <is>
          <t>OUI</t>
        </is>
      </c>
      <c r="H34" s="15" t="inlineStr">
        <is>
          <t>L.EQ1 ; N.REL</t>
        </is>
      </c>
      <c r="I34" s="15" t="n">
        <v>1.5</v>
      </c>
      <c r="J34" s="16" t="inlineStr">
        <is>
          <t>curriculum ou guide de l'enseignant</t>
        </is>
      </c>
    </row>
    <row r="35" ht="15" customHeight="1" s="10">
      <c r="A35" s="17" t="inlineStr">
        <is>
          <t>L.EQP</t>
        </is>
      </c>
      <c r="B35" s="17" t="inlineStr">
        <is>
          <t>Calcul litteral et algebre</t>
        </is>
      </c>
      <c r="C35" s="17" t="inlineStr">
        <is>
          <t>Equations produit</t>
        </is>
      </c>
      <c r="D35" s="18" t="inlineStr">
        <is>
          <t>Resoudre une equation produit nul apres factorisation.</t>
        </is>
      </c>
      <c r="E35" s="17" t="inlineStr">
        <is>
          <t>3eme</t>
        </is>
      </c>
      <c r="F35" s="17" t="inlineStr">
        <is>
          <t>3e ch7</t>
        </is>
      </c>
      <c r="G35" s="17" t="inlineStr">
        <is>
          <t>non</t>
        </is>
      </c>
      <c r="H35" s="17" t="inlineStr">
        <is>
          <t>L.EQ1 ; L.FAC2</t>
        </is>
      </c>
      <c r="I35" s="17" t="n">
        <v>4</v>
      </c>
      <c r="J35" s="18" t="inlineStr">
        <is>
          <t>curriculum ou guide de l'enseignant</t>
        </is>
      </c>
    </row>
    <row r="36" ht="15" customHeight="1" s="10">
      <c r="A36" s="15" t="inlineStr">
        <is>
          <t>L.SYS</t>
        </is>
      </c>
      <c r="B36" s="15" t="inlineStr">
        <is>
          <t>Calcul litteral et algebre</t>
        </is>
      </c>
      <c r="C36" s="15" t="inlineStr">
        <is>
          <t>Systemes deux equations deux inconnues</t>
        </is>
      </c>
      <c r="D36" s="16" t="inlineStr">
        <is>
          <t>Resoudre par substitution ou combinaison ; interpreter.</t>
        </is>
      </c>
      <c r="E36" s="15" t="inlineStr">
        <is>
          <t>3eme</t>
        </is>
      </c>
      <c r="F36" s="15" t="inlineStr">
        <is>
          <t>3e ch15</t>
        </is>
      </c>
      <c r="G36" s="15" t="inlineStr">
        <is>
          <t>non</t>
        </is>
      </c>
      <c r="H36" s="15" t="inlineStr">
        <is>
          <t>L.EQ1</t>
        </is>
      </c>
      <c r="I36" s="15" t="n">
        <v>8</v>
      </c>
      <c r="J36" s="16" t="inlineStr">
        <is>
          <t>curriculum ou guide de l'enseignant</t>
        </is>
      </c>
    </row>
    <row r="37" ht="15" customHeight="1" s="10">
      <c r="A37" s="17" t="inlineStr">
        <is>
          <t>L.MISE</t>
        </is>
      </c>
      <c r="B37" s="17" t="inlineStr">
        <is>
          <t>Calcul litteral et algebre</t>
        </is>
      </c>
      <c r="C37" s="17" t="inlineStr">
        <is>
          <t>Mise en equation d'un probleme</t>
        </is>
      </c>
      <c r="D37" s="18" t="inlineStr">
        <is>
          <t>Traduire un enonce en equation ou en inequation d'inconnue choisie.</t>
        </is>
      </c>
      <c r="E37" s="17" t="inlineStr">
        <is>
          <t>4eme</t>
        </is>
      </c>
      <c r="F37" s="17" t="inlineStr">
        <is>
          <t>4e ch16</t>
        </is>
      </c>
      <c r="G37" s="17" t="inlineStr">
        <is>
          <t>OUI</t>
        </is>
      </c>
      <c r="H37" s="17" t="inlineStr">
        <is>
          <t>L.EQ1</t>
        </is>
      </c>
      <c r="I37" s="17" t="n">
        <v>1.5</v>
      </c>
      <c r="J37" s="18" t="inlineStr">
        <is>
          <t>curriculum ou guide de l'enseignant</t>
        </is>
      </c>
    </row>
    <row r="38" ht="23.85" customHeight="1" s="10">
      <c r="A38" s="15" t="inlineStr">
        <is>
          <t>L.EQ2</t>
        </is>
      </c>
      <c r="B38" s="15" t="inlineStr">
        <is>
          <t>Calcul litteral et algebre</t>
        </is>
      </c>
      <c r="C38" s="15" t="inlineStr">
        <is>
          <t>Equations du second degre</t>
        </is>
      </c>
      <c r="D38" s="16" t="inlineStr">
        <is>
          <t>Discriminant, racines, resolution.</t>
        </is>
      </c>
      <c r="E38" s="15" t="inlineStr">
        <is>
          <t>2ndeC</t>
        </is>
      </c>
      <c r="F38" s="15" t="inlineStr">
        <is>
          <t>2nde ch2</t>
        </is>
      </c>
      <c r="G38" s="15" t="inlineStr">
        <is>
          <t>non</t>
        </is>
      </c>
      <c r="H38" s="15" t="inlineStr">
        <is>
          <t>L.EQ1 ; L.FAC2 ; N.RAC</t>
        </is>
      </c>
      <c r="I38" s="15" t="inlineStr">
        <is>
          <t>non disponible</t>
        </is>
      </c>
      <c r="J38" s="16" t="inlineStr">
        <is>
          <t>lycee : pas de volume par chapitre dans les documents officiels</t>
        </is>
      </c>
    </row>
    <row r="39" ht="23.85" customHeight="1" s="10">
      <c r="A39" s="17" t="inlineStr">
        <is>
          <t>L.TRI</t>
        </is>
      </c>
      <c r="B39" s="17" t="inlineStr">
        <is>
          <t>Calcul litteral et algebre</t>
        </is>
      </c>
      <c r="C39" s="17" t="inlineStr">
        <is>
          <t>Trinome : factorisation et signe</t>
        </is>
      </c>
      <c r="D39" s="18" t="inlineStr">
        <is>
          <t>Factoriser un trinome et etablir son tableau de signe.</t>
        </is>
      </c>
      <c r="E39" s="17" t="inlineStr">
        <is>
          <t>2ndeC</t>
        </is>
      </c>
      <c r="F39" s="17" t="inlineStr">
        <is>
          <t>2nde ch2</t>
        </is>
      </c>
      <c r="G39" s="17" t="inlineStr">
        <is>
          <t>non</t>
        </is>
      </c>
      <c r="H39" s="17" t="inlineStr">
        <is>
          <t>L.EQ2</t>
        </is>
      </c>
      <c r="I39" s="17" t="inlineStr">
        <is>
          <t>non disponible</t>
        </is>
      </c>
      <c r="J39" s="18" t="inlineStr">
        <is>
          <t>lycee : pas de volume par chapitre dans les documents officiels</t>
        </is>
      </c>
    </row>
    <row r="40" ht="23.85" customHeight="1" s="10">
      <c r="A40" s="15" t="inlineStr">
        <is>
          <t>L.INEQ2</t>
        </is>
      </c>
      <c r="B40" s="15" t="inlineStr">
        <is>
          <t>Calcul litteral et algebre</t>
        </is>
      </c>
      <c r="C40" s="15" t="inlineStr">
        <is>
          <t>Inequations produit et quotient</t>
        </is>
      </c>
      <c r="D40" s="16" t="inlineStr">
        <is>
          <t>Resoudre par tableau de signe une inequation produit ou quotient.</t>
        </is>
      </c>
      <c r="E40" s="15" t="inlineStr">
        <is>
          <t>2ndeC</t>
        </is>
      </c>
      <c r="F40" s="15" t="inlineStr">
        <is>
          <t>2nde ch2</t>
        </is>
      </c>
      <c r="G40" s="15" t="inlineStr">
        <is>
          <t>non</t>
        </is>
      </c>
      <c r="H40" s="15" t="inlineStr">
        <is>
          <t>L.TRI ; L.INEQ1</t>
        </is>
      </c>
      <c r="I40" s="15" t="inlineStr">
        <is>
          <t>non disponible</t>
        </is>
      </c>
      <c r="J40" s="16" t="inlineStr">
        <is>
          <t>lycee : pas de volume par chapitre dans les documents officiels</t>
        </is>
      </c>
    </row>
    <row r="41" ht="23.85" customHeight="1" s="10">
      <c r="A41" s="17" t="inlineStr">
        <is>
          <t>L.SYSL</t>
        </is>
      </c>
      <c r="B41" s="17" t="inlineStr">
        <is>
          <t>Calcul litteral et algebre</t>
        </is>
      </c>
      <c r="C41" s="17" t="inlineStr">
        <is>
          <t>Systemes lineaires et d'inequations</t>
        </is>
      </c>
      <c r="D41" s="18" t="inlineStr">
        <is>
          <t>Systemes lineaires, systemes d'inequations a deux inconnues.</t>
        </is>
      </c>
      <c r="E41" s="17" t="inlineStr">
        <is>
          <t>2ndeC</t>
        </is>
      </c>
      <c r="F41" s="17" t="inlineStr">
        <is>
          <t>2nde ch4</t>
        </is>
      </c>
      <c r="G41" s="17" t="inlineStr">
        <is>
          <t>non</t>
        </is>
      </c>
      <c r="H41" s="17" t="inlineStr">
        <is>
          <t>L.SYS ; L.INEQ1</t>
        </is>
      </c>
      <c r="I41" s="17" t="inlineStr">
        <is>
          <t>non disponible</t>
        </is>
      </c>
      <c r="J41" s="18" t="inlineStr">
        <is>
          <t>lycee : pas de volume par chapitre dans les documents officiels</t>
        </is>
      </c>
    </row>
    <row r="42" ht="23.85" customHeight="1" s="10">
      <c r="A42" s="15" t="inlineStr">
        <is>
          <t>L.POLY</t>
        </is>
      </c>
      <c r="B42" s="15" t="inlineStr">
        <is>
          <t>Calcul litteral et algebre</t>
        </is>
      </c>
      <c r="C42" s="15" t="inlineStr">
        <is>
          <t>Polynomes</t>
        </is>
      </c>
      <c r="D42" s="16" t="inlineStr">
        <is>
          <t>Factorisation, racines, mise en facteur, division euclidienne.</t>
        </is>
      </c>
      <c r="E42" s="15" t="inlineStr">
        <is>
          <t>1ereD</t>
        </is>
      </c>
      <c r="F42" s="15" t="inlineStr">
        <is>
          <t>1ere ch2</t>
        </is>
      </c>
      <c r="G42" s="15" t="inlineStr">
        <is>
          <t>non</t>
        </is>
      </c>
      <c r="H42" s="15" t="inlineStr">
        <is>
          <t>L.TRI</t>
        </is>
      </c>
      <c r="I42" s="15" t="inlineStr">
        <is>
          <t>non disponible</t>
        </is>
      </c>
      <c r="J42" s="16" t="inlineStr">
        <is>
          <t>lycee : pas de volume par chapitre dans les documents officiels</t>
        </is>
      </c>
    </row>
    <row r="43" ht="23.85" customHeight="1" s="10">
      <c r="A43" s="17" t="inlineStr">
        <is>
          <t>L.RATF</t>
        </is>
      </c>
      <c r="B43" s="17" t="inlineStr">
        <is>
          <t>Calcul litteral et algebre</t>
        </is>
      </c>
      <c r="C43" s="17" t="inlineStr">
        <is>
          <t>Fonctions rationnelles : calcul</t>
        </is>
      </c>
      <c r="D43" s="18" t="inlineStr">
        <is>
          <t>Simplification, signe et resolution sur les fonctions rationnelles.</t>
        </is>
      </c>
      <c r="E43" s="17" t="inlineStr">
        <is>
          <t>1ereD</t>
        </is>
      </c>
      <c r="F43" s="17" t="inlineStr">
        <is>
          <t>1ere ch2, ch3</t>
        </is>
      </c>
      <c r="G43" s="17" t="inlineStr">
        <is>
          <t>non</t>
        </is>
      </c>
      <c r="H43" s="17" t="inlineStr">
        <is>
          <t>L.POLY ; L.INEQ2</t>
        </is>
      </c>
      <c r="I43" s="17" t="inlineStr">
        <is>
          <t>non disponible</t>
        </is>
      </c>
      <c r="J43" s="18" t="inlineStr">
        <is>
          <t>lycee : pas de volume par chapitre dans les documents officiels</t>
        </is>
      </c>
    </row>
    <row r="44" ht="15" customHeight="1" s="10">
      <c r="A44" s="15" t="inlineStr">
        <is>
          <t>G.VOC</t>
        </is>
      </c>
      <c r="B44" s="15" t="inlineStr">
        <is>
          <t>Activites geometriques</t>
        </is>
      </c>
      <c r="C44" s="15" t="inlineStr">
        <is>
          <t>Vocabulaire et traces de base</t>
        </is>
      </c>
      <c r="D44" s="16" t="inlineStr">
        <is>
          <t>Droite, demi-droite, segment, milieu : notation et trace.</t>
        </is>
      </c>
      <c r="E44" s="15" t="inlineStr">
        <is>
          <t>Primaire</t>
        </is>
      </c>
      <c r="F44" s="15" t="inlineStr">
        <is>
          <t>CE2-CM1 / 6e ch1</t>
        </is>
      </c>
      <c r="G44" s="15" t="inlineStr">
        <is>
          <t>OUI</t>
        </is>
      </c>
      <c r="H44" s="15" t="n"/>
      <c r="I44" s="15" t="n">
        <v>2</v>
      </c>
      <c r="J44" s="16" t="inlineStr">
        <is>
          <t>curriculum ou guide de l'enseignant</t>
        </is>
      </c>
    </row>
    <row r="45" ht="15" customHeight="1" s="10">
      <c r="A45" s="17" t="inlineStr">
        <is>
          <t>G.PARA</t>
        </is>
      </c>
      <c r="B45" s="17" t="inlineStr">
        <is>
          <t>Activites geometriques</t>
        </is>
      </c>
      <c r="C45" s="17" t="inlineStr">
        <is>
          <t>Parallelisme et perpendicularite</t>
        </is>
      </c>
      <c r="D45" s="18" t="inlineStr">
        <is>
          <t>Reconnaitre et tracer des droites paralleles ou perpendiculaires.</t>
        </is>
      </c>
      <c r="E45" s="17" t="inlineStr">
        <is>
          <t>Primaire</t>
        </is>
      </c>
      <c r="F45" s="17" t="inlineStr">
        <is>
          <t>CM1-CM2 / 6e ch1</t>
        </is>
      </c>
      <c r="G45" s="17" t="inlineStr">
        <is>
          <t>OUI</t>
        </is>
      </c>
      <c r="H45" s="17" t="inlineStr">
        <is>
          <t>G.VOC</t>
        </is>
      </c>
      <c r="I45" s="17" t="n">
        <v>2</v>
      </c>
      <c r="J45" s="18" t="inlineStr">
        <is>
          <t>curriculum ou guide de l'enseignant</t>
        </is>
      </c>
    </row>
    <row r="46" ht="15" customHeight="1" s="10">
      <c r="A46" s="15" t="inlineStr">
        <is>
          <t>G.FIG</t>
        </is>
      </c>
      <c r="B46" s="15" t="inlineStr">
        <is>
          <t>Activites geometriques</t>
        </is>
      </c>
      <c r="C46" s="15" t="inlineStr">
        <is>
          <t>Figures usuelles</t>
        </is>
      </c>
      <c r="D46" s="16" t="inlineStr">
        <is>
          <t>Reconnaitre et construire carre, rectangle, triangle, cercle.</t>
        </is>
      </c>
      <c r="E46" s="15" t="inlineStr">
        <is>
          <t>Primaire</t>
        </is>
      </c>
      <c r="F46" s="15" t="inlineStr">
        <is>
          <t>CE2-CM2</t>
        </is>
      </c>
      <c r="G46" s="15" t="inlineStr">
        <is>
          <t>OUI</t>
        </is>
      </c>
      <c r="H46" s="15" t="inlineStr">
        <is>
          <t>G.VOC</t>
        </is>
      </c>
      <c r="I46" s="15" t="n">
        <v>4</v>
      </c>
      <c r="J46" s="16" t="inlineStr">
        <is>
          <t>estimation (acquis du primaire, non chiffre)</t>
        </is>
      </c>
    </row>
    <row r="47" ht="15" customHeight="1" s="10">
      <c r="A47" s="17" t="inlineStr">
        <is>
          <t>G.ANG1</t>
        </is>
      </c>
      <c r="B47" s="17" t="inlineStr">
        <is>
          <t>Activites geometriques</t>
        </is>
      </c>
      <c r="C47" s="17" t="inlineStr">
        <is>
          <t>Angles : nature et mesure</t>
        </is>
      </c>
      <c r="D47" s="18" t="inlineStr">
        <is>
          <t>Nature d'un angle, mesure et construction au rapporteur.</t>
        </is>
      </c>
      <c r="E47" s="17" t="inlineStr">
        <is>
          <t>Primaire</t>
        </is>
      </c>
      <c r="F47" s="17" t="inlineStr">
        <is>
          <t>CM1-CM2 / 6e ch3</t>
        </is>
      </c>
      <c r="G47" s="17" t="inlineStr">
        <is>
          <t>OUI</t>
        </is>
      </c>
      <c r="H47" s="17" t="n"/>
      <c r="I47" s="17" t="n">
        <v>2.5</v>
      </c>
      <c r="J47" s="18" t="inlineStr">
        <is>
          <t>curriculum ou guide de l'enseignant</t>
        </is>
      </c>
    </row>
    <row r="48" ht="15" customHeight="1" s="10">
      <c r="A48" s="15" t="inlineStr">
        <is>
          <t>G.ANG2</t>
        </is>
      </c>
      <c r="B48" s="15" t="inlineStr">
        <is>
          <t>Activites geometriques</t>
        </is>
      </c>
      <c r="C48" s="15" t="inlineStr">
        <is>
          <t>Angles complementaires et bissectrice</t>
        </is>
      </c>
      <c r="D48" s="16" t="inlineStr">
        <is>
          <t>Angles complementaires, supplementaires, bissectrice.</t>
        </is>
      </c>
      <c r="E48" s="15" t="inlineStr">
        <is>
          <t>6eme</t>
        </is>
      </c>
      <c r="F48" s="15" t="inlineStr">
        <is>
          <t>6e ch3</t>
        </is>
      </c>
      <c r="G48" s="15" t="inlineStr">
        <is>
          <t>non</t>
        </is>
      </c>
      <c r="H48" s="15" t="inlineStr">
        <is>
          <t>G.ANG1</t>
        </is>
      </c>
      <c r="I48" s="15" t="n">
        <v>2.5</v>
      </c>
      <c r="J48" s="16" t="inlineStr">
        <is>
          <t>curriculum ou guide de l'enseignant</t>
        </is>
      </c>
    </row>
    <row r="49" ht="15" customHeight="1" s="10">
      <c r="A49" s="17" t="inlineStr">
        <is>
          <t>G.TRI</t>
        </is>
      </c>
      <c r="B49" s="17" t="inlineStr">
        <is>
          <t>Activites geometriques</t>
        </is>
      </c>
      <c r="C49" s="17" t="inlineStr">
        <is>
          <t>Triangles : construction et nature</t>
        </is>
      </c>
      <c r="D49" s="18" t="inlineStr">
        <is>
          <t>Construction, nature d'un triangle, inegalite triangulaire.</t>
        </is>
      </c>
      <c r="E49" s="17" t="inlineStr">
        <is>
          <t>6eme</t>
        </is>
      </c>
      <c r="F49" s="17" t="inlineStr">
        <is>
          <t>6e ch8</t>
        </is>
      </c>
      <c r="G49" s="17" t="inlineStr">
        <is>
          <t>OUI</t>
        </is>
      </c>
      <c r="H49" s="17" t="inlineStr">
        <is>
          <t>G.FIG</t>
        </is>
      </c>
      <c r="I49" s="17" t="n">
        <v>7</v>
      </c>
      <c r="J49" s="18" t="inlineStr">
        <is>
          <t>curriculum ou guide de l'enseignant</t>
        </is>
      </c>
    </row>
    <row r="50" ht="23.85" customHeight="1" s="10">
      <c r="A50" s="15" t="inlineStr">
        <is>
          <t>G.PARAL</t>
        </is>
      </c>
      <c r="B50" s="15" t="inlineStr">
        <is>
          <t>Activites geometriques</t>
        </is>
      </c>
      <c r="C50" s="15" t="inlineStr">
        <is>
          <t>Parallelogrammes</t>
        </is>
      </c>
      <c r="D50" s="16" t="inlineStr">
        <is>
          <t>Parallelogramme et parallelogrammes particuliers : reconnaissance et proprietes.</t>
        </is>
      </c>
      <c r="E50" s="15" t="inlineStr">
        <is>
          <t>6eme</t>
        </is>
      </c>
      <c r="F50" s="15" t="inlineStr">
        <is>
          <t>6e ch5, ch6</t>
        </is>
      </c>
      <c r="G50" s="15" t="inlineStr">
        <is>
          <t>non</t>
        </is>
      </c>
      <c r="H50" s="15" t="inlineStr">
        <is>
          <t>G.PARA ; G.FIG</t>
        </is>
      </c>
      <c r="I50" s="15" t="n">
        <v>8.5</v>
      </c>
      <c r="J50" s="16" t="inlineStr">
        <is>
          <t>curriculum ou guide de l'enseignant</t>
        </is>
      </c>
    </row>
    <row r="51" ht="15" customHeight="1" s="10">
      <c r="A51" s="17" t="inlineStr">
        <is>
          <t>G.CERC</t>
        </is>
      </c>
      <c r="B51" s="17" t="inlineStr">
        <is>
          <t>Activites geometriques</t>
        </is>
      </c>
      <c r="C51" s="17" t="inlineStr">
        <is>
          <t>Cercle et disque</t>
        </is>
      </c>
      <c r="D51" s="18" t="inlineStr">
        <is>
          <t>Cercle, disque, rayon, diametre, corde.</t>
        </is>
      </c>
      <c r="E51" s="17" t="inlineStr">
        <is>
          <t>6eme</t>
        </is>
      </c>
      <c r="F51" s="17" t="inlineStr">
        <is>
          <t>6e ch9</t>
        </is>
      </c>
      <c r="G51" s="17" t="inlineStr">
        <is>
          <t>non</t>
        </is>
      </c>
      <c r="H51" s="17" t="inlineStr">
        <is>
          <t>G.FIG</t>
        </is>
      </c>
      <c r="I51" s="17" t="n">
        <v>2</v>
      </c>
      <c r="J51" s="18" t="inlineStr">
        <is>
          <t>curriculum ou guide de l'enseignant</t>
        </is>
      </c>
    </row>
    <row r="52" ht="15" customHeight="1" s="10">
      <c r="A52" s="15" t="inlineStr">
        <is>
          <t>G.MED</t>
        </is>
      </c>
      <c r="B52" s="15" t="inlineStr">
        <is>
          <t>Activites geometriques</t>
        </is>
      </c>
      <c r="C52" s="15" t="inlineStr">
        <is>
          <t>Mediatrice</t>
        </is>
      </c>
      <c r="D52" s="16" t="inlineStr">
        <is>
          <t>Definition, construction et propriete caracteristique de la mediatrice.</t>
        </is>
      </c>
      <c r="E52" s="15" t="inlineStr">
        <is>
          <t>6eme</t>
        </is>
      </c>
      <c r="F52" s="15" t="inlineStr">
        <is>
          <t>6e ch10</t>
        </is>
      </c>
      <c r="G52" s="15" t="inlineStr">
        <is>
          <t>non</t>
        </is>
      </c>
      <c r="H52" s="15" t="inlineStr">
        <is>
          <t>G.CERC</t>
        </is>
      </c>
      <c r="I52" s="15" t="n">
        <v>9</v>
      </c>
      <c r="J52" s="16" t="inlineStr">
        <is>
          <t>curriculum ou guide de l'enseignant</t>
        </is>
      </c>
    </row>
    <row r="53" ht="15" customHeight="1" s="10">
      <c r="A53" s="17" t="inlineStr">
        <is>
          <t>G.SYMO</t>
        </is>
      </c>
      <c r="B53" s="17" t="inlineStr">
        <is>
          <t>Activites geometriques</t>
        </is>
      </c>
      <c r="C53" s="17" t="inlineStr">
        <is>
          <t>Symetrie orthogonale</t>
        </is>
      </c>
      <c r="D53" s="18" t="inlineStr">
        <is>
          <t>Construire et reconnaitre l'image d'une figure par symetrie axiale.</t>
        </is>
      </c>
      <c r="E53" s="17" t="inlineStr">
        <is>
          <t>6eme</t>
        </is>
      </c>
      <c r="F53" s="17" t="inlineStr">
        <is>
          <t>6e ch11</t>
        </is>
      </c>
      <c r="G53" s="17" t="inlineStr">
        <is>
          <t>non</t>
        </is>
      </c>
      <c r="H53" s="17" t="inlineStr">
        <is>
          <t>G.MED</t>
        </is>
      </c>
      <c r="I53" s="17" t="n">
        <v>10</v>
      </c>
      <c r="J53" s="18" t="inlineStr">
        <is>
          <t>curriculum ou guide de l'enseignant</t>
        </is>
      </c>
    </row>
    <row r="54" ht="15" customHeight="1" s="10">
      <c r="A54" s="15" t="inlineStr">
        <is>
          <t>G.SYMC</t>
        </is>
      </c>
      <c r="B54" s="15" t="inlineStr">
        <is>
          <t>Activites geometriques</t>
        </is>
      </c>
      <c r="C54" s="15" t="inlineStr">
        <is>
          <t>Symetrie centrale</t>
        </is>
      </c>
      <c r="D54" s="16" t="inlineStr">
        <is>
          <t>Construction et proprietes de la symetrie centrale.</t>
        </is>
      </c>
      <c r="E54" s="15" t="inlineStr">
        <is>
          <t>5eme</t>
        </is>
      </c>
      <c r="F54" s="15" t="inlineStr">
        <is>
          <t>5e ch1, ch3</t>
        </is>
      </c>
      <c r="G54" s="15" t="inlineStr">
        <is>
          <t>OUI</t>
        </is>
      </c>
      <c r="H54" s="15" t="inlineStr">
        <is>
          <t>G.SYMO</t>
        </is>
      </c>
      <c r="I54" s="15" t="n">
        <v>9</v>
      </c>
      <c r="J54" s="16" t="inlineStr">
        <is>
          <t>curriculum ou guide de l'enseignant</t>
        </is>
      </c>
    </row>
    <row r="55" ht="15" customHeight="1" s="10">
      <c r="A55" s="17" t="inlineStr">
        <is>
          <t>G.ANG3</t>
        </is>
      </c>
      <c r="B55" s="17" t="inlineStr">
        <is>
          <t>Activites geometriques</t>
        </is>
      </c>
      <c r="C55" s="17" t="inlineStr">
        <is>
          <t>Angles et droites paralleles</t>
        </is>
      </c>
      <c r="D55" s="18" t="inlineStr">
        <is>
          <t>Angles opposes par le sommet, alternes-internes, correspondants.</t>
        </is>
      </c>
      <c r="E55" s="17" t="inlineStr">
        <is>
          <t>5eme</t>
        </is>
      </c>
      <c r="F55" s="17" t="inlineStr">
        <is>
          <t>5e ch6</t>
        </is>
      </c>
      <c r="G55" s="17" t="inlineStr">
        <is>
          <t>non</t>
        </is>
      </c>
      <c r="H55" s="17" t="inlineStr">
        <is>
          <t>G.ANG1 ; G.PARA</t>
        </is>
      </c>
      <c r="I55" s="17" t="n">
        <v>3</v>
      </c>
      <c r="J55" s="18" t="inlineStr">
        <is>
          <t>curriculum ou guide de l'enseignant</t>
        </is>
      </c>
    </row>
    <row r="56" ht="15" customHeight="1" s="10">
      <c r="A56" s="15" t="inlineStr">
        <is>
          <t>G.TRIP</t>
        </is>
      </c>
      <c r="B56" s="15" t="inlineStr">
        <is>
          <t>Activites geometriques</t>
        </is>
      </c>
      <c r="C56" s="15" t="inlineStr">
        <is>
          <t>Triangles : proprietes et droites remarquables</t>
        </is>
      </c>
      <c r="D56" s="16" t="inlineStr">
        <is>
          <t>Somme des angles, droites remarquables du triangle.</t>
        </is>
      </c>
      <c r="E56" s="15" t="inlineStr">
        <is>
          <t>5eme</t>
        </is>
      </c>
      <c r="F56" s="15" t="inlineStr">
        <is>
          <t>5e ch6 / 6e ch8</t>
        </is>
      </c>
      <c r="G56" s="15" t="inlineStr">
        <is>
          <t>non</t>
        </is>
      </c>
      <c r="H56" s="15" t="inlineStr">
        <is>
          <t>G.TRI ; G.MED</t>
        </is>
      </c>
      <c r="I56" s="15" t="n">
        <v>3</v>
      </c>
      <c r="J56" s="16" t="inlineStr">
        <is>
          <t>curriculum ou guide de l'enseignant</t>
        </is>
      </c>
    </row>
    <row r="57" ht="15" customHeight="1" s="10">
      <c r="A57" s="17" t="inlineStr">
        <is>
          <t>G.SOL1</t>
        </is>
      </c>
      <c r="B57" s="17" t="inlineStr">
        <is>
          <t>Activites geometriques</t>
        </is>
      </c>
      <c r="C57" s="17" t="inlineStr">
        <is>
          <t>Solides usuels</t>
        </is>
      </c>
      <c r="D57" s="18" t="inlineStr">
        <is>
          <t>Pave, cube, cylindre, prisme, cone, pyramide, sphere : patron, aire, volume.</t>
        </is>
      </c>
      <c r="E57" s="17" t="inlineStr">
        <is>
          <t>6eme</t>
        </is>
      </c>
      <c r="F57" s="17" t="inlineStr">
        <is>
          <t>6e ch18 / 5e ch9, ch12, ch15</t>
        </is>
      </c>
      <c r="G57" s="17" t="inlineStr">
        <is>
          <t>OUI</t>
        </is>
      </c>
      <c r="H57" s="17" t="inlineStr">
        <is>
          <t>G.FIG</t>
        </is>
      </c>
      <c r="I57" s="17" t="n">
        <v>20.5</v>
      </c>
      <c r="J57" s="18" t="inlineStr">
        <is>
          <t>curriculum ou guide de l'enseignant</t>
        </is>
      </c>
    </row>
    <row r="58" ht="15" customHeight="1" s="10">
      <c r="A58" s="15" t="inlineStr">
        <is>
          <t>G.ABS</t>
        </is>
      </c>
      <c r="B58" s="15" t="inlineStr">
        <is>
          <t>Activites geometriques</t>
        </is>
      </c>
      <c r="C58" s="15" t="inlineStr">
        <is>
          <t>Reperage sur une droite</t>
        </is>
      </c>
      <c r="D58" s="16" t="inlineStr">
        <is>
          <t>Abscisse d'un point et distance entre deux points sur une droite graduee.</t>
        </is>
      </c>
      <c r="E58" s="15" t="inlineStr">
        <is>
          <t>4eme</t>
        </is>
      </c>
      <c r="F58" s="15" t="inlineStr">
        <is>
          <t>4e ch3</t>
        </is>
      </c>
      <c r="G58" s="15" t="inlineStr">
        <is>
          <t>OUI</t>
        </is>
      </c>
      <c r="H58" s="15" t="inlineStr">
        <is>
          <t>N.REL</t>
        </is>
      </c>
      <c r="I58" s="15" t="n">
        <v>3</v>
      </c>
      <c r="J58" s="16" t="inlineStr">
        <is>
          <t>curriculum ou guide de l'enseignant</t>
        </is>
      </c>
    </row>
    <row r="59" ht="15" customHeight="1" s="10">
      <c r="A59" s="17" t="inlineStr">
        <is>
          <t>G.REP</t>
        </is>
      </c>
      <c r="B59" s="17" t="inlineStr">
        <is>
          <t>Activites geometriques</t>
        </is>
      </c>
      <c r="C59" s="17" t="inlineStr">
        <is>
          <t>Reperage dans le plan</t>
        </is>
      </c>
      <c r="D59" s="18" t="inlineStr">
        <is>
          <t>Coordonnees d'un point, coordonnees du milieu d'un segment.</t>
        </is>
      </c>
      <c r="E59" s="17" t="inlineStr">
        <is>
          <t>6eme</t>
        </is>
      </c>
      <c r="F59" s="17" t="inlineStr">
        <is>
          <t>6e ch17 / 4e ch4</t>
        </is>
      </c>
      <c r="G59" s="17" t="inlineStr">
        <is>
          <t>OUI</t>
        </is>
      </c>
      <c r="H59" s="17" t="inlineStr">
        <is>
          <t>G.ABS</t>
        </is>
      </c>
      <c r="I59" s="17" t="n">
        <v>5</v>
      </c>
      <c r="J59" s="18" t="inlineStr">
        <is>
          <t>curriculum ou guide de l'enseignant</t>
        </is>
      </c>
    </row>
    <row r="60" ht="15" customHeight="1" s="10">
      <c r="A60" s="15" t="inlineStr">
        <is>
          <t>G.VEC</t>
        </is>
      </c>
      <c r="B60" s="15" t="inlineStr">
        <is>
          <t>Activites geometriques</t>
        </is>
      </c>
      <c r="C60" s="15" t="inlineStr">
        <is>
          <t>Vecteurs : egalite et somme</t>
        </is>
      </c>
      <c r="D60" s="16" t="inlineStr">
        <is>
          <t>Egalite de vecteurs, somme, relation de Chasles.</t>
        </is>
      </c>
      <c r="E60" s="15" t="inlineStr">
        <is>
          <t>4eme</t>
        </is>
      </c>
      <c r="F60" s="15" t="inlineStr">
        <is>
          <t>4e ch9, ch11</t>
        </is>
      </c>
      <c r="G60" s="15" t="inlineStr">
        <is>
          <t>OUI</t>
        </is>
      </c>
      <c r="H60" s="15" t="inlineStr">
        <is>
          <t>G.REP</t>
        </is>
      </c>
      <c r="I60" s="15" t="n">
        <v>11</v>
      </c>
      <c r="J60" s="16" t="inlineStr">
        <is>
          <t>curriculum ou guide de l'enseignant</t>
        </is>
      </c>
    </row>
    <row r="61" ht="15" customHeight="1" s="10">
      <c r="A61" s="17" t="inlineStr">
        <is>
          <t>G.PROJ</t>
        </is>
      </c>
      <c r="B61" s="17" t="inlineStr">
        <is>
          <t>Activites geometriques</t>
        </is>
      </c>
      <c r="C61" s="17" t="inlineStr">
        <is>
          <t>Projection et theoreme des milieux</t>
        </is>
      </c>
      <c r="D61" s="18" t="inlineStr">
        <is>
          <t>Projection, droite des milieux, theoreme des milieux.</t>
        </is>
      </c>
      <c r="E61" s="17" t="inlineStr">
        <is>
          <t>4eme</t>
        </is>
      </c>
      <c r="F61" s="17" t="inlineStr">
        <is>
          <t>4e ch6</t>
        </is>
      </c>
      <c r="G61" s="17" t="inlineStr">
        <is>
          <t>non</t>
        </is>
      </c>
      <c r="H61" s="17" t="inlineStr">
        <is>
          <t>G.PARA ; G.TRI</t>
        </is>
      </c>
      <c r="I61" s="17" t="n">
        <v>10</v>
      </c>
      <c r="J61" s="18" t="inlineStr">
        <is>
          <t>curriculum ou guide de l'enseignant</t>
        </is>
      </c>
    </row>
    <row r="62" ht="15" customHeight="1" s="10">
      <c r="A62" s="15" t="inlineStr">
        <is>
          <t>G.TRANS</t>
        </is>
      </c>
      <c r="B62" s="15" t="inlineStr">
        <is>
          <t>Activites geometriques</t>
        </is>
      </c>
      <c r="C62" s="15" t="inlineStr">
        <is>
          <t>Translations et images de figures</t>
        </is>
      </c>
      <c r="D62" s="16" t="inlineStr">
        <is>
          <t>Image d'un point ou d'une figure par translation ou symetrie.</t>
        </is>
      </c>
      <c r="E62" s="15" t="inlineStr">
        <is>
          <t>4eme</t>
        </is>
      </c>
      <c r="F62" s="15" t="inlineStr">
        <is>
          <t>4e ch14, ch17</t>
        </is>
      </c>
      <c r="G62" s="15" t="inlineStr">
        <is>
          <t>non</t>
        </is>
      </c>
      <c r="H62" s="15" t="inlineStr">
        <is>
          <t>G.VEC ; G.SYMC</t>
        </is>
      </c>
      <c r="I62" s="15" t="n">
        <v>5</v>
      </c>
      <c r="J62" s="16" t="inlineStr">
        <is>
          <t>curriculum ou guide de l'enseignant</t>
        </is>
      </c>
    </row>
    <row r="63" ht="15" customHeight="1" s="10">
      <c r="A63" s="17" t="inlineStr">
        <is>
          <t>G.POLY</t>
        </is>
      </c>
      <c r="B63" s="17" t="inlineStr">
        <is>
          <t>Activites geometriques</t>
        </is>
      </c>
      <c r="C63" s="17" t="inlineStr">
        <is>
          <t>Polygones et sections de solides</t>
        </is>
      </c>
      <c r="D63" s="18" t="inlineStr">
        <is>
          <t>Polygones reguliers, sections planes de solides.</t>
        </is>
      </c>
      <c r="E63" s="17" t="inlineStr">
        <is>
          <t>4eme</t>
        </is>
      </c>
      <c r="F63" s="17" t="inlineStr">
        <is>
          <t>4e ch7, ch18</t>
        </is>
      </c>
      <c r="G63" s="17" t="inlineStr">
        <is>
          <t>non</t>
        </is>
      </c>
      <c r="H63" s="17" t="inlineStr">
        <is>
          <t>G.FIG ; G.SOL1</t>
        </is>
      </c>
      <c r="I63" s="17" t="n">
        <v>8</v>
      </c>
      <c r="J63" s="18" t="inlineStr">
        <is>
          <t>curriculum ou guide de l'enseignant</t>
        </is>
      </c>
    </row>
    <row r="64" ht="15" customHeight="1" s="10">
      <c r="A64" s="15" t="inlineStr">
        <is>
          <t>G.RON</t>
        </is>
      </c>
      <c r="B64" s="15" t="inlineStr">
        <is>
          <t>Activites geometriques</t>
        </is>
      </c>
      <c r="C64" s="15" t="inlineStr">
        <is>
          <t>Repere orthonormal : distance et milieu</t>
        </is>
      </c>
      <c r="D64" s="16" t="inlineStr">
        <is>
          <t>Distance entre deux points et milieu dans un repere orthonormal.</t>
        </is>
      </c>
      <c r="E64" s="15" t="inlineStr">
        <is>
          <t>3eme</t>
        </is>
      </c>
      <c r="F64" s="15" t="inlineStr">
        <is>
          <t>3e ch10</t>
        </is>
      </c>
      <c r="G64" s="15" t="inlineStr">
        <is>
          <t>non</t>
        </is>
      </c>
      <c r="H64" s="15" t="inlineStr">
        <is>
          <t>G.REP ; N.RAC</t>
        </is>
      </c>
      <c r="I64" s="15" t="n">
        <v>4</v>
      </c>
      <c r="J64" s="16" t="inlineStr">
        <is>
          <t>curriculum ou guide de l'enseignant</t>
        </is>
      </c>
    </row>
    <row r="65" ht="15" customHeight="1" s="10">
      <c r="A65" s="17" t="inlineStr">
        <is>
          <t>G.PYT</t>
        </is>
      </c>
      <c r="B65" s="17" t="inlineStr">
        <is>
          <t>Activites geometriques</t>
        </is>
      </c>
      <c r="C65" s="17" t="inlineStr">
        <is>
          <t>Theoreme de Pythagore</t>
        </is>
      </c>
      <c r="D65" s="18" t="inlineStr">
        <is>
          <t>Theoreme de Pythagore et sa reciproque.</t>
        </is>
      </c>
      <c r="E65" s="17" t="inlineStr">
        <is>
          <t>3eme</t>
        </is>
      </c>
      <c r="F65" s="17" t="inlineStr">
        <is>
          <t>3e ch6</t>
        </is>
      </c>
      <c r="G65" s="17" t="inlineStr">
        <is>
          <t>OUI</t>
        </is>
      </c>
      <c r="H65" s="17" t="inlineStr">
        <is>
          <t>G.TRI ; N.RAC</t>
        </is>
      </c>
      <c r="I65" s="17" t="n">
        <v>7</v>
      </c>
      <c r="J65" s="18" t="inlineStr">
        <is>
          <t>curriculum ou guide de l'enseignant</t>
        </is>
      </c>
    </row>
    <row r="66" ht="15" customHeight="1" s="10">
      <c r="A66" s="15" t="inlineStr">
        <is>
          <t>G.THA</t>
        </is>
      </c>
      <c r="B66" s="15" t="inlineStr">
        <is>
          <t>Activites geometriques</t>
        </is>
      </c>
      <c r="C66" s="15" t="inlineStr">
        <is>
          <t>Theoreme de Thales</t>
        </is>
      </c>
      <c r="D66" s="16" t="inlineStr">
        <is>
          <t>Theoreme de Thales et sa reciproque.</t>
        </is>
      </c>
      <c r="E66" s="15" t="inlineStr">
        <is>
          <t>3eme</t>
        </is>
      </c>
      <c r="F66" s="15" t="inlineStr">
        <is>
          <t>3e ch8</t>
        </is>
      </c>
      <c r="G66" s="15" t="inlineStr">
        <is>
          <t>OUI</t>
        </is>
      </c>
      <c r="H66" s="15" t="inlineStr">
        <is>
          <t>G.PROJ ; N.FRA2</t>
        </is>
      </c>
      <c r="I66" s="15" t="n">
        <v>6</v>
      </c>
      <c r="J66" s="16" t="inlineStr">
        <is>
          <t>curriculum ou guide de l'enseignant</t>
        </is>
      </c>
    </row>
    <row r="67" ht="15" customHeight="1" s="10">
      <c r="A67" s="17" t="inlineStr">
        <is>
          <t>G.COL</t>
        </is>
      </c>
      <c r="B67" s="17" t="inlineStr">
        <is>
          <t>Activites geometriques</t>
        </is>
      </c>
      <c r="C67" s="17" t="inlineStr">
        <is>
          <t>Colinearite et coordonnees de vecteurs</t>
        </is>
      </c>
      <c r="D67" s="18" t="inlineStr">
        <is>
          <t>Colinearite, multiplication par un reel, coordonnees.</t>
        </is>
      </c>
      <c r="E67" s="17" t="inlineStr">
        <is>
          <t>3eme</t>
        </is>
      </c>
      <c r="F67" s="17" t="inlineStr">
        <is>
          <t>3e ch2, ch3</t>
        </is>
      </c>
      <c r="G67" s="17" t="inlineStr">
        <is>
          <t>non</t>
        </is>
      </c>
      <c r="H67" s="17" t="inlineStr">
        <is>
          <t>G.VEC</t>
        </is>
      </c>
      <c r="I67" s="17" t="n">
        <v>10</v>
      </c>
      <c r="J67" s="18" t="inlineStr">
        <is>
          <t>curriculum ou guide de l'enseignant</t>
        </is>
      </c>
    </row>
    <row r="68" ht="23.85" customHeight="1" s="10">
      <c r="A68" s="15" t="inlineStr">
        <is>
          <t>G.PS</t>
        </is>
      </c>
      <c r="B68" s="15" t="inlineStr">
        <is>
          <t>Activites geometriques</t>
        </is>
      </c>
      <c r="C68" s="15" t="inlineStr">
        <is>
          <t>Produit scalaire</t>
        </is>
      </c>
      <c r="D68" s="16" t="inlineStr">
        <is>
          <t>Calcul, orthogonalite, norme.</t>
        </is>
      </c>
      <c r="E68" s="15" t="inlineStr">
        <is>
          <t>2ndeC</t>
        </is>
      </c>
      <c r="F68" s="15" t="inlineStr">
        <is>
          <t>2nde ch8 / 1ere ch11</t>
        </is>
      </c>
      <c r="G68" s="15" t="inlineStr">
        <is>
          <t>non</t>
        </is>
      </c>
      <c r="H68" s="15" t="inlineStr">
        <is>
          <t>G.COL ; G.PYT</t>
        </is>
      </c>
      <c r="I68" s="15" t="inlineStr">
        <is>
          <t>non disponible</t>
        </is>
      </c>
      <c r="J68" s="16" t="inlineStr">
        <is>
          <t>lycee : pas de volume par chapitre dans les documents officiels</t>
        </is>
      </c>
    </row>
    <row r="69" ht="23.85" customHeight="1" s="10">
      <c r="A69" s="17" t="inlineStr">
        <is>
          <t>G.PLAN</t>
        </is>
      </c>
      <c r="B69" s="17" t="inlineStr">
        <is>
          <t>Activites geometriques</t>
        </is>
      </c>
      <c r="C69" s="17" t="inlineStr">
        <is>
          <t>Geometrie plane du lycee</t>
        </is>
      </c>
      <c r="D69" s="18" t="inlineStr">
        <is>
          <t>Droites, distances, cercles dans un repere.</t>
        </is>
      </c>
      <c r="E69" s="17" t="inlineStr">
        <is>
          <t>2ndeC</t>
        </is>
      </c>
      <c r="F69" s="17" t="inlineStr">
        <is>
          <t>2nde ch9</t>
        </is>
      </c>
      <c r="G69" s="17" t="inlineStr">
        <is>
          <t>non</t>
        </is>
      </c>
      <c r="H69" s="17" t="inlineStr">
        <is>
          <t>G.RON</t>
        </is>
      </c>
      <c r="I69" s="17" t="inlineStr">
        <is>
          <t>non disponible</t>
        </is>
      </c>
      <c r="J69" s="18" t="inlineStr">
        <is>
          <t>lycee : pas de volume par chapitre dans les documents officiels</t>
        </is>
      </c>
    </row>
    <row r="70" ht="23.85" customHeight="1" s="10">
      <c r="A70" s="15" t="inlineStr">
        <is>
          <t>G.HOM</t>
        </is>
      </c>
      <c r="B70" s="15" t="inlineStr">
        <is>
          <t>Activites geometriques</t>
        </is>
      </c>
      <c r="C70" s="15" t="inlineStr">
        <is>
          <t>Transformations du plan</t>
        </is>
      </c>
      <c r="D70" s="16" t="inlineStr">
        <is>
          <t>Translation, symetries, homothetie au sens du lycee.</t>
        </is>
      </c>
      <c r="E70" s="15" t="inlineStr">
        <is>
          <t>2ndeC</t>
        </is>
      </c>
      <c r="F70" s="15" t="inlineStr">
        <is>
          <t>2nde ch10</t>
        </is>
      </c>
      <c r="G70" s="15" t="inlineStr">
        <is>
          <t>non</t>
        </is>
      </c>
      <c r="H70" s="15" t="inlineStr">
        <is>
          <t>G.TRANS</t>
        </is>
      </c>
      <c r="I70" s="15" t="inlineStr">
        <is>
          <t>non disponible</t>
        </is>
      </c>
      <c r="J70" s="16" t="inlineStr">
        <is>
          <t>lycee : pas de volume par chapitre dans les documents officiels</t>
        </is>
      </c>
    </row>
    <row r="71" ht="23.85" customHeight="1" s="10">
      <c r="A71" s="17" t="inlineStr">
        <is>
          <t>G.ESP</t>
        </is>
      </c>
      <c r="B71" s="17" t="inlineStr">
        <is>
          <t>Activites geometriques</t>
        </is>
      </c>
      <c r="C71" s="17" t="inlineStr">
        <is>
          <t>Geometrie dans l'espace</t>
        </is>
      </c>
      <c r="D71" s="18" t="inlineStr">
        <is>
          <t>Positions relatives, sections, vecteurs et distances dans l'espace.</t>
        </is>
      </c>
      <c r="E71" s="17" t="inlineStr">
        <is>
          <t>2ndeC</t>
        </is>
      </c>
      <c r="F71" s="17" t="inlineStr">
        <is>
          <t>2nde ch11 / 1ere ch11</t>
        </is>
      </c>
      <c r="G71" s="17" t="inlineStr">
        <is>
          <t>non</t>
        </is>
      </c>
      <c r="H71" s="17" t="inlineStr">
        <is>
          <t>G.SOL1</t>
        </is>
      </c>
      <c r="I71" s="17" t="inlineStr">
        <is>
          <t>non disponible</t>
        </is>
      </c>
      <c r="J71" s="18" t="inlineStr">
        <is>
          <t>lycee : pas de volume par chapitre dans les documents officiels</t>
        </is>
      </c>
    </row>
    <row r="72" ht="15" customHeight="1" s="10">
      <c r="A72" s="15" t="inlineStr">
        <is>
          <t>M.CONV</t>
        </is>
      </c>
      <c r="B72" s="15" t="inlineStr">
        <is>
          <t>Mesures et grandeurs</t>
        </is>
      </c>
      <c r="C72" s="15" t="inlineStr">
        <is>
          <t>Conversions d'unites</t>
        </is>
      </c>
      <c r="D72" s="16" t="inlineStr">
        <is>
          <t>Longueur, masse, capacite, duree, aire, volume.</t>
        </is>
      </c>
      <c r="E72" s="15" t="inlineStr">
        <is>
          <t>Primaire</t>
        </is>
      </c>
      <c r="F72" s="15" t="inlineStr">
        <is>
          <t>CM1-CM2</t>
        </is>
      </c>
      <c r="G72" s="15" t="inlineStr">
        <is>
          <t>OUI</t>
        </is>
      </c>
      <c r="H72" s="15" t="n"/>
      <c r="I72" s="15" t="n">
        <v>4</v>
      </c>
      <c r="J72" s="16" t="inlineStr">
        <is>
          <t>estimation (acquis du primaire, non chiffre)</t>
        </is>
      </c>
    </row>
    <row r="73" ht="15" customHeight="1" s="10">
      <c r="A73" s="17" t="inlineStr">
        <is>
          <t>M.PER</t>
        </is>
      </c>
      <c r="B73" s="17" t="inlineStr">
        <is>
          <t>Mesures et grandeurs</t>
        </is>
      </c>
      <c r="C73" s="17" t="inlineStr">
        <is>
          <t>Perimetres</t>
        </is>
      </c>
      <c r="D73" s="18" t="inlineStr">
        <is>
          <t>Perimetre des figures usuelles, circonference du cercle.</t>
        </is>
      </c>
      <c r="E73" s="17" t="inlineStr">
        <is>
          <t>Primaire</t>
        </is>
      </c>
      <c r="F73" s="17" t="inlineStr">
        <is>
          <t>CM1-CM2 / 6e</t>
        </is>
      </c>
      <c r="G73" s="17" t="inlineStr">
        <is>
          <t>OUI</t>
        </is>
      </c>
      <c r="H73" s="17" t="inlineStr">
        <is>
          <t>M.CONV ; G.FIG</t>
        </is>
      </c>
      <c r="I73" s="17" t="n">
        <v>4</v>
      </c>
      <c r="J73" s="18" t="inlineStr">
        <is>
          <t>estimation (acquis du primaire, non chiffre)</t>
        </is>
      </c>
    </row>
    <row r="74" ht="15" customHeight="1" s="10">
      <c r="A74" s="15" t="inlineStr">
        <is>
          <t>M.AIRE</t>
        </is>
      </c>
      <c r="B74" s="15" t="inlineStr">
        <is>
          <t>Mesures et grandeurs</t>
        </is>
      </c>
      <c r="C74" s="15" t="inlineStr">
        <is>
          <t>Aires</t>
        </is>
      </c>
      <c r="D74" s="16" t="inlineStr">
        <is>
          <t>Aires du carre, rectangle, triangle, parallelogramme, trapeze, disque.</t>
        </is>
      </c>
      <c r="E74" s="15" t="inlineStr">
        <is>
          <t>Primaire</t>
        </is>
      </c>
      <c r="F74" s="15" t="inlineStr">
        <is>
          <t>CM2 / 6e ch5, ch6, ch9</t>
        </is>
      </c>
      <c r="G74" s="15" t="inlineStr">
        <is>
          <t>OUI</t>
        </is>
      </c>
      <c r="H74" s="15" t="inlineStr">
        <is>
          <t>M.CONV ; G.FIG</t>
        </is>
      </c>
      <c r="I74" s="15" t="n">
        <v>10.5</v>
      </c>
      <c r="J74" s="16" t="inlineStr">
        <is>
          <t>curriculum ou guide de l'enseignant</t>
        </is>
      </c>
    </row>
    <row r="75" ht="15" customHeight="1" s="10">
      <c r="A75" s="17" t="inlineStr">
        <is>
          <t>M.VOL</t>
        </is>
      </c>
      <c r="B75" s="17" t="inlineStr">
        <is>
          <t>Mesures et grandeurs</t>
        </is>
      </c>
      <c r="C75" s="17" t="inlineStr">
        <is>
          <t>Volumes</t>
        </is>
      </c>
      <c r="D75" s="18" t="inlineStr">
        <is>
          <t>Volumes des solides usuels.</t>
        </is>
      </c>
      <c r="E75" s="17" t="inlineStr">
        <is>
          <t>6eme</t>
        </is>
      </c>
      <c r="F75" s="17" t="inlineStr">
        <is>
          <t>6e ch18 / 5e</t>
        </is>
      </c>
      <c r="G75" s="17" t="inlineStr">
        <is>
          <t>OUI</t>
        </is>
      </c>
      <c r="H75" s="17" t="inlineStr">
        <is>
          <t>M.AIRE ; G.SOL1</t>
        </is>
      </c>
      <c r="I75" s="17" t="n">
        <v>3.5</v>
      </c>
      <c r="J75" s="18" t="inlineStr">
        <is>
          <t>curriculum ou guide de l'enseignant</t>
        </is>
      </c>
    </row>
    <row r="76" ht="15" customHeight="1" s="10">
      <c r="A76" s="15" t="inlineStr">
        <is>
          <t>M.MVD</t>
        </is>
      </c>
      <c r="B76" s="15" t="inlineStr">
        <is>
          <t>Mesures et grandeurs</t>
        </is>
      </c>
      <c r="C76" s="15" t="inlineStr">
        <is>
          <t>Masse volumique, vitesse, debit</t>
        </is>
      </c>
      <c r="D76" s="16" t="inlineStr">
        <is>
          <t>Grandeurs quotients : calcul et interpretation.</t>
        </is>
      </c>
      <c r="E76" s="15" t="inlineStr">
        <is>
          <t>5eme</t>
        </is>
      </c>
      <c r="F76" s="15" t="inlineStr">
        <is>
          <t>5e ch16</t>
        </is>
      </c>
      <c r="G76" s="15" t="inlineStr">
        <is>
          <t>non</t>
        </is>
      </c>
      <c r="H76" s="15" t="inlineStr">
        <is>
          <t>D.PROP ; M.CONV</t>
        </is>
      </c>
      <c r="I76" s="15" t="n">
        <v>6</v>
      </c>
      <c r="J76" s="16" t="inlineStr">
        <is>
          <t>curriculum ou guide de l'enseignant</t>
        </is>
      </c>
    </row>
    <row r="77" ht="15" customHeight="1" s="10">
      <c r="A77" s="17" t="inlineStr">
        <is>
          <t>M.ECH</t>
        </is>
      </c>
      <c r="B77" s="17" t="inlineStr">
        <is>
          <t>Mesures et grandeurs</t>
        </is>
      </c>
      <c r="C77" s="17" t="inlineStr">
        <is>
          <t>Echelle</t>
        </is>
      </c>
      <c r="D77" s="18" t="inlineStr">
        <is>
          <t>Agrandissement et reduction ; calcul de distance reelle.</t>
        </is>
      </c>
      <c r="E77" s="17" t="inlineStr">
        <is>
          <t>5eme</t>
        </is>
      </c>
      <c r="F77" s="17" t="inlineStr">
        <is>
          <t>5e ch17</t>
        </is>
      </c>
      <c r="G77" s="17" t="inlineStr">
        <is>
          <t>OUI</t>
        </is>
      </c>
      <c r="H77" s="17" t="inlineStr">
        <is>
          <t>D.PROP</t>
        </is>
      </c>
      <c r="I77" s="17" t="n">
        <v>4</v>
      </c>
      <c r="J77" s="18" t="inlineStr">
        <is>
          <t>curriculum ou guide de l'enseignant</t>
        </is>
      </c>
    </row>
    <row r="78" ht="15" customHeight="1" s="10">
      <c r="A78" s="15" t="inlineStr">
        <is>
          <t>F.REL</t>
        </is>
      </c>
      <c r="B78" s="15" t="inlineStr">
        <is>
          <t>Fonctions et applications</t>
        </is>
      </c>
      <c r="C78" s="15" t="inlineStr">
        <is>
          <t>Relations et fonctions</t>
        </is>
      </c>
      <c r="D78" s="16" t="inlineStr">
        <is>
          <t>Notion de relation, tableau de correspondance.</t>
        </is>
      </c>
      <c r="E78" s="15" t="inlineStr">
        <is>
          <t>6eme</t>
        </is>
      </c>
      <c r="F78" s="15" t="inlineStr">
        <is>
          <t>6e ch15</t>
        </is>
      </c>
      <c r="G78" s="15" t="inlineStr">
        <is>
          <t>OUI</t>
        </is>
      </c>
      <c r="H78" s="15" t="n"/>
      <c r="I78" s="15" t="n">
        <v>5</v>
      </c>
      <c r="J78" s="16" t="inlineStr">
        <is>
          <t>curriculum ou guide de l'enseignant</t>
        </is>
      </c>
    </row>
    <row r="79" ht="15" customHeight="1" s="10">
      <c r="A79" s="17" t="inlineStr">
        <is>
          <t>F.APP</t>
        </is>
      </c>
      <c r="B79" s="17" t="inlineStr">
        <is>
          <t>Fonctions et applications</t>
        </is>
      </c>
      <c r="C79" s="17" t="inlineStr">
        <is>
          <t>Applications : image et antecedent</t>
        </is>
      </c>
      <c r="D79" s="18" t="inlineStr">
        <is>
          <t>Image, antecedent, tableau de valeurs.</t>
        </is>
      </c>
      <c r="E79" s="17" t="inlineStr">
        <is>
          <t>4eme</t>
        </is>
      </c>
      <c r="F79" s="17" t="inlineStr">
        <is>
          <t>4e ch13</t>
        </is>
      </c>
      <c r="G79" s="17" t="inlineStr">
        <is>
          <t>OUI</t>
        </is>
      </c>
      <c r="H79" s="17" t="inlineStr">
        <is>
          <t>F.REL</t>
        </is>
      </c>
      <c r="I79" s="17" t="n">
        <v>5</v>
      </c>
      <c r="J79" s="18" t="inlineStr">
        <is>
          <t>curriculum ou guide de l'enseignant</t>
        </is>
      </c>
    </row>
    <row r="80" ht="15" customHeight="1" s="10">
      <c r="A80" s="15" t="inlineStr">
        <is>
          <t>F.COMP</t>
        </is>
      </c>
      <c r="B80" s="15" t="inlineStr">
        <is>
          <t>Fonctions et applications</t>
        </is>
      </c>
      <c r="C80" s="15" t="inlineStr">
        <is>
          <t>Composition d'applications</t>
        </is>
      </c>
      <c r="D80" s="16" t="inlineStr">
        <is>
          <t>Composer deux applications.</t>
        </is>
      </c>
      <c r="E80" s="15" t="inlineStr">
        <is>
          <t>4eme</t>
        </is>
      </c>
      <c r="F80" s="15" t="inlineStr">
        <is>
          <t>4e ch17</t>
        </is>
      </c>
      <c r="G80" s="15" t="inlineStr">
        <is>
          <t>non</t>
        </is>
      </c>
      <c r="H80" s="15" t="inlineStr">
        <is>
          <t>F.APP</t>
        </is>
      </c>
      <c r="I80" s="15" t="n">
        <v>4</v>
      </c>
      <c r="J80" s="16" t="inlineStr">
        <is>
          <t>curriculum ou guide de l'enseignant</t>
        </is>
      </c>
    </row>
    <row r="81" ht="15" customHeight="1" s="10">
      <c r="A81" s="17" t="inlineStr">
        <is>
          <t>F.LIN</t>
        </is>
      </c>
      <c r="B81" s="17" t="inlineStr">
        <is>
          <t>Fonctions et applications</t>
        </is>
      </c>
      <c r="C81" s="17" t="inlineStr">
        <is>
          <t>Applications lineaires et affines</t>
        </is>
      </c>
      <c r="D81" s="18" t="inlineStr">
        <is>
          <t>Applications lineaires et affines, equations de droites, lecture graphique.</t>
        </is>
      </c>
      <c r="E81" s="17" t="inlineStr">
        <is>
          <t>3eme</t>
        </is>
      </c>
      <c r="F81" s="17" t="inlineStr">
        <is>
          <t>3e ch13, ch17</t>
        </is>
      </c>
      <c r="G81" s="17" t="inlineStr">
        <is>
          <t>OUI</t>
        </is>
      </c>
      <c r="H81" s="17" t="inlineStr">
        <is>
          <t>F.APP ; G.REP</t>
        </is>
      </c>
      <c r="I81" s="17" t="n">
        <v>16</v>
      </c>
      <c r="J81" s="18" t="inlineStr">
        <is>
          <t>curriculum ou guide de l'enseignant</t>
        </is>
      </c>
    </row>
    <row r="82" ht="23.85" customHeight="1" s="10">
      <c r="A82" s="15" t="inlineStr">
        <is>
          <t>F.DEF</t>
        </is>
      </c>
      <c r="B82" s="15" t="inlineStr">
        <is>
          <t>Fonctions et applications</t>
        </is>
      </c>
      <c r="C82" s="15" t="inlineStr">
        <is>
          <t>Ensemble de definition</t>
        </is>
      </c>
      <c r="D82" s="16" t="inlineStr">
        <is>
          <t>Determiner l'ensemble de definition d'une fonction.</t>
        </is>
      </c>
      <c r="E82" s="15" t="inlineStr">
        <is>
          <t>2ndeC</t>
        </is>
      </c>
      <c r="F82" s="15" t="inlineStr">
        <is>
          <t>2nde ch5 / 1ere ch6</t>
        </is>
      </c>
      <c r="G82" s="15" t="inlineStr">
        <is>
          <t>non</t>
        </is>
      </c>
      <c r="H82" s="15" t="inlineStr">
        <is>
          <t>F.APP ; L.INEQ2</t>
        </is>
      </c>
      <c r="I82" s="15" t="inlineStr">
        <is>
          <t>non disponible</t>
        </is>
      </c>
      <c r="J82" s="16" t="inlineStr">
        <is>
          <t>lycee : pas de volume par chapitre dans les documents officiels</t>
        </is>
      </c>
    </row>
    <row r="83" ht="23.85" customHeight="1" s="10">
      <c r="A83" s="17" t="inlineStr">
        <is>
          <t>F.PAR</t>
        </is>
      </c>
      <c r="B83" s="17" t="inlineStr">
        <is>
          <t>Fonctions et applications</t>
        </is>
      </c>
      <c r="C83" s="17" t="inlineStr">
        <is>
          <t>Parite et symetries de la courbe</t>
        </is>
      </c>
      <c r="D83" s="18" t="inlineStr">
        <is>
          <t>Parite d'une fonction et consequences graphiques.</t>
        </is>
      </c>
      <c r="E83" s="17" t="inlineStr">
        <is>
          <t>2ndeC</t>
        </is>
      </c>
      <c r="F83" s="17" t="inlineStr">
        <is>
          <t>2nde ch5 / 1ere ch6</t>
        </is>
      </c>
      <c r="G83" s="17" t="inlineStr">
        <is>
          <t>non</t>
        </is>
      </c>
      <c r="H83" s="17" t="inlineStr">
        <is>
          <t>F.DEF</t>
        </is>
      </c>
      <c r="I83" s="17" t="inlineStr">
        <is>
          <t>non disponible</t>
        </is>
      </c>
      <c r="J83" s="18" t="inlineStr">
        <is>
          <t>lycee : pas de volume par chapitre dans les documents officiels</t>
        </is>
      </c>
    </row>
    <row r="84" ht="23.85" customHeight="1" s="10">
      <c r="A84" s="15" t="inlineStr">
        <is>
          <t>F.GRA</t>
        </is>
      </c>
      <c r="B84" s="15" t="inlineStr">
        <is>
          <t>Fonctions et applications</t>
        </is>
      </c>
      <c r="C84" s="15" t="inlineStr">
        <is>
          <t>Lecture graphique</t>
        </is>
      </c>
      <c r="D84" s="16" t="inlineStr">
        <is>
          <t>Image, antecedent, variations, signe a partir d'une courbe.</t>
        </is>
      </c>
      <c r="E84" s="15" t="inlineStr">
        <is>
          <t>2ndeC</t>
        </is>
      </c>
      <c r="F84" s="15" t="inlineStr">
        <is>
          <t>2nde ch5, ch6</t>
        </is>
      </c>
      <c r="G84" s="15" t="inlineStr">
        <is>
          <t>OUI</t>
        </is>
      </c>
      <c r="H84" s="15" t="inlineStr">
        <is>
          <t>F.LIN</t>
        </is>
      </c>
      <c r="I84" s="15" t="inlineStr">
        <is>
          <t>non disponible</t>
        </is>
      </c>
      <c r="J84" s="16" t="inlineStr">
        <is>
          <t>lycee : pas de volume par chapitre dans les documents officiels</t>
        </is>
      </c>
    </row>
    <row r="85" ht="23.85" customHeight="1" s="10">
      <c r="A85" s="17" t="inlineStr">
        <is>
          <t>F.REF</t>
        </is>
      </c>
      <c r="B85" s="17" t="inlineStr">
        <is>
          <t>Fonctions et applications</t>
        </is>
      </c>
      <c r="C85" s="17" t="inlineStr">
        <is>
          <t>Fonctions de reference</t>
        </is>
      </c>
      <c r="D85" s="18" t="inlineStr">
        <is>
          <t>Fonctions de reference et transformations elementaires de courbes.</t>
        </is>
      </c>
      <c r="E85" s="17" t="inlineStr">
        <is>
          <t>2ndeC</t>
        </is>
      </c>
      <c r="F85" s="17" t="inlineStr">
        <is>
          <t>2nde ch6</t>
        </is>
      </c>
      <c r="G85" s="17" t="inlineStr">
        <is>
          <t>non</t>
        </is>
      </c>
      <c r="H85" s="17" t="inlineStr">
        <is>
          <t>F.GRA</t>
        </is>
      </c>
      <c r="I85" s="17" t="inlineStr">
        <is>
          <t>non disponible</t>
        </is>
      </c>
      <c r="J85" s="18" t="inlineStr">
        <is>
          <t>lycee : pas de volume par chapitre dans les documents officiels</t>
        </is>
      </c>
    </row>
    <row r="86" ht="23.85" customHeight="1" s="10">
      <c r="A86" s="15" t="inlineStr">
        <is>
          <t>F.CIRC</t>
        </is>
      </c>
      <c r="B86" s="15" t="inlineStr">
        <is>
          <t>Fonctions et applications</t>
        </is>
      </c>
      <c r="C86" s="15" t="inlineStr">
        <is>
          <t>Fonctions circulaires</t>
        </is>
      </c>
      <c r="D86" s="16" t="inlineStr">
        <is>
          <t>Cercle trigonometrique, valeurs remarquables, degres et radians.</t>
        </is>
      </c>
      <c r="E86" s="15" t="inlineStr">
        <is>
          <t>2ndeC</t>
        </is>
      </c>
      <c r="F86" s="15" t="inlineStr">
        <is>
          <t>2nde ch7</t>
        </is>
      </c>
      <c r="G86" s="15" t="inlineStr">
        <is>
          <t>non</t>
        </is>
      </c>
      <c r="H86" s="15" t="inlineStr">
        <is>
          <t>T.TRIR</t>
        </is>
      </c>
      <c r="I86" s="15" t="inlineStr">
        <is>
          <t>non disponible</t>
        </is>
      </c>
      <c r="J86" s="16" t="inlineStr">
        <is>
          <t>lycee : pas de volume par chapitre dans les documents officiels</t>
        </is>
      </c>
    </row>
    <row r="87" ht="23.85" customHeight="1" s="10">
      <c r="A87" s="17" t="inlineStr">
        <is>
          <t>F.LIM</t>
        </is>
      </c>
      <c r="B87" s="17" t="inlineStr">
        <is>
          <t>Fonctions et applications</t>
        </is>
      </c>
      <c r="C87" s="17" t="inlineStr">
        <is>
          <t>Limites de fonctions</t>
        </is>
      </c>
      <c r="D87" s="18" t="inlineStr">
        <is>
          <t>Calcul de limites et formes indeterminees usuelles.</t>
        </is>
      </c>
      <c r="E87" s="17" t="inlineStr">
        <is>
          <t>1ereD</t>
        </is>
      </c>
      <c r="F87" s="17" t="inlineStr">
        <is>
          <t>1ere ch7</t>
        </is>
      </c>
      <c r="G87" s="17" t="inlineStr">
        <is>
          <t>non</t>
        </is>
      </c>
      <c r="H87" s="17" t="inlineStr">
        <is>
          <t>F.DEF</t>
        </is>
      </c>
      <c r="I87" s="17" t="inlineStr">
        <is>
          <t>non disponible</t>
        </is>
      </c>
      <c r="J87" s="18" t="inlineStr">
        <is>
          <t>lycee : pas de volume par chapitre dans les documents officiels</t>
        </is>
      </c>
    </row>
    <row r="88" ht="23.85" customHeight="1" s="10">
      <c r="A88" s="15" t="inlineStr">
        <is>
          <t>F.ASY</t>
        </is>
      </c>
      <c r="B88" s="15" t="inlineStr">
        <is>
          <t>Fonctions et applications</t>
        </is>
      </c>
      <c r="C88" s="15" t="inlineStr">
        <is>
          <t>Asymptotes et branches infinies</t>
        </is>
      </c>
      <c r="D88" s="16" t="inlineStr">
        <is>
          <t>Determiner asymptotes et branches infinies.</t>
        </is>
      </c>
      <c r="E88" s="15" t="inlineStr">
        <is>
          <t>1ereD</t>
        </is>
      </c>
      <c r="F88" s="15" t="inlineStr">
        <is>
          <t>1ere ch7</t>
        </is>
      </c>
      <c r="G88" s="15" t="inlineStr">
        <is>
          <t>non</t>
        </is>
      </c>
      <c r="H88" s="15" t="inlineStr">
        <is>
          <t>F.LIM</t>
        </is>
      </c>
      <c r="I88" s="15" t="inlineStr">
        <is>
          <t>non disponible</t>
        </is>
      </c>
      <c r="J88" s="16" t="inlineStr">
        <is>
          <t>lycee : pas de volume par chapitre dans les documents officiels</t>
        </is>
      </c>
    </row>
    <row r="89" ht="23.85" customHeight="1" s="10">
      <c r="A89" s="17" t="inlineStr">
        <is>
          <t>F.DER</t>
        </is>
      </c>
      <c r="B89" s="17" t="inlineStr">
        <is>
          <t>Fonctions et applications</t>
        </is>
      </c>
      <c r="C89" s="17" t="inlineStr">
        <is>
          <t>Derivation</t>
        </is>
      </c>
      <c r="D89" s="18" t="inlineStr">
        <is>
          <t>Formules usuelles et derivee d'une fonction composee.</t>
        </is>
      </c>
      <c r="E89" s="17" t="inlineStr">
        <is>
          <t>1ereD</t>
        </is>
      </c>
      <c r="F89" s="17" t="inlineStr">
        <is>
          <t>1ere ch8</t>
        </is>
      </c>
      <c r="G89" s="17" t="inlineStr">
        <is>
          <t>non</t>
        </is>
      </c>
      <c r="H89" s="17" t="inlineStr">
        <is>
          <t>F.LIM</t>
        </is>
      </c>
      <c r="I89" s="17" t="inlineStr">
        <is>
          <t>non disponible</t>
        </is>
      </c>
      <c r="J89" s="18" t="inlineStr">
        <is>
          <t>lycee : pas de volume par chapitre dans les documents officiels</t>
        </is>
      </c>
    </row>
    <row r="90" ht="23.85" customHeight="1" s="10">
      <c r="A90" s="15" t="inlineStr">
        <is>
          <t>F.TAN</t>
        </is>
      </c>
      <c r="B90" s="15" t="inlineStr">
        <is>
          <t>Fonctions et applications</t>
        </is>
      </c>
      <c r="C90" s="15" t="inlineStr">
        <is>
          <t>Equation de la tangente</t>
        </is>
      </c>
      <c r="D90" s="16" t="inlineStr">
        <is>
          <t>Determiner l'equation de la tangente en un point.</t>
        </is>
      </c>
      <c r="E90" s="15" t="inlineStr">
        <is>
          <t>1ereD</t>
        </is>
      </c>
      <c r="F90" s="15" t="inlineStr">
        <is>
          <t>1ere ch8</t>
        </is>
      </c>
      <c r="G90" s="15" t="inlineStr">
        <is>
          <t>non</t>
        </is>
      </c>
      <c r="H90" s="15" t="inlineStr">
        <is>
          <t>F.DER ; F.LIN</t>
        </is>
      </c>
      <c r="I90" s="15" t="inlineStr">
        <is>
          <t>non disponible</t>
        </is>
      </c>
      <c r="J90" s="16" t="inlineStr">
        <is>
          <t>lycee : pas de volume par chapitre dans les documents officiels</t>
        </is>
      </c>
    </row>
    <row r="91" ht="23.85" customHeight="1" s="10">
      <c r="A91" s="17" t="inlineStr">
        <is>
          <t>F.VAR</t>
        </is>
      </c>
      <c r="B91" s="17" t="inlineStr">
        <is>
          <t>Fonctions et applications</t>
        </is>
      </c>
      <c r="C91" s="17" t="inlineStr">
        <is>
          <t>Sens de variation</t>
        </is>
      </c>
      <c r="D91" s="18" t="inlineStr">
        <is>
          <t>Sens de variation et tableau de variation.</t>
        </is>
      </c>
      <c r="E91" s="17" t="inlineStr">
        <is>
          <t>1ereD</t>
        </is>
      </c>
      <c r="F91" s="17" t="inlineStr">
        <is>
          <t>1ere ch8</t>
        </is>
      </c>
      <c r="G91" s="17" t="inlineStr">
        <is>
          <t>non</t>
        </is>
      </c>
      <c r="H91" s="17" t="inlineStr">
        <is>
          <t>F.DER</t>
        </is>
      </c>
      <c r="I91" s="17" t="inlineStr">
        <is>
          <t>non disponible</t>
        </is>
      </c>
      <c r="J91" s="18" t="inlineStr">
        <is>
          <t>lycee : pas de volume par chapitre dans les documents officiels</t>
        </is>
      </c>
    </row>
    <row r="92" ht="15" customHeight="1" s="10">
      <c r="A92" s="15" t="inlineStr">
        <is>
          <t>D.PROP</t>
        </is>
      </c>
      <c r="B92" s="15" t="inlineStr">
        <is>
          <t>Donnees, proportionnalite, statistique</t>
        </is>
      </c>
      <c r="C92" s="15" t="inlineStr">
        <is>
          <t>Proportionnalite</t>
        </is>
      </c>
      <c r="D92" s="16" t="inlineStr">
        <is>
          <t>Tableau de proportionnalite, quatrieme proportionnelle, prix unitaire.</t>
        </is>
      </c>
      <c r="E92" s="15" t="inlineStr">
        <is>
          <t>Primaire</t>
        </is>
      </c>
      <c r="F92" s="15" t="inlineStr">
        <is>
          <t>CM1-CM2 / 6e ch16</t>
        </is>
      </c>
      <c r="G92" s="15" t="inlineStr">
        <is>
          <t>OUI</t>
        </is>
      </c>
      <c r="H92" s="15" t="inlineStr">
        <is>
          <t>N.MUL ; N.DIVE</t>
        </is>
      </c>
      <c r="I92" s="15" t="n">
        <v>4</v>
      </c>
      <c r="J92" s="16" t="inlineStr">
        <is>
          <t>curriculum ou guide de l'enseignant</t>
        </is>
      </c>
    </row>
    <row r="93" ht="15" customHeight="1" s="10">
      <c r="A93" s="17" t="inlineStr">
        <is>
          <t>D.POUR</t>
        </is>
      </c>
      <c r="B93" s="17" t="inlineStr">
        <is>
          <t>Donnees, proportionnalite, statistique</t>
        </is>
      </c>
      <c r="C93" s="17" t="inlineStr">
        <is>
          <t>Pourcentages</t>
        </is>
      </c>
      <c r="D93" s="18" t="inlineStr">
        <is>
          <t>Calculer et appliquer un pourcentage ; augmentation et reduction.</t>
        </is>
      </c>
      <c r="E93" s="17" t="inlineStr">
        <is>
          <t>Primaire</t>
        </is>
      </c>
      <c r="F93" s="17" t="inlineStr">
        <is>
          <t>CM2 / 6e ch16</t>
        </is>
      </c>
      <c r="G93" s="17" t="inlineStr">
        <is>
          <t>OUI</t>
        </is>
      </c>
      <c r="H93" s="17" t="inlineStr">
        <is>
          <t>D.PROP ; N.FRA1</t>
        </is>
      </c>
      <c r="I93" s="17" t="n">
        <v>4</v>
      </c>
      <c r="J93" s="18" t="inlineStr">
        <is>
          <t>curriculum ou guide de l'enseignant</t>
        </is>
      </c>
    </row>
    <row r="94" ht="15" customHeight="1" s="10">
      <c r="A94" s="15" t="inlineStr">
        <is>
          <t>D.TAB</t>
        </is>
      </c>
      <c r="B94" s="15" t="inlineStr">
        <is>
          <t>Donnees, proportionnalite, statistique</t>
        </is>
      </c>
      <c r="C94" s="15" t="inlineStr">
        <is>
          <t>Lecture de tableaux et graphiques</t>
        </is>
      </c>
      <c r="D94" s="16" t="inlineStr">
        <is>
          <t>Extraire une information d'un tableau ou d'un diagramme.</t>
        </is>
      </c>
      <c r="E94" s="15" t="inlineStr">
        <is>
          <t>Primaire</t>
        </is>
      </c>
      <c r="F94" s="15" t="inlineStr">
        <is>
          <t>CM2</t>
        </is>
      </c>
      <c r="G94" s="15" t="inlineStr">
        <is>
          <t>OUI</t>
        </is>
      </c>
      <c r="H94" s="15" t="n"/>
      <c r="I94" s="15" t="n">
        <v>2</v>
      </c>
      <c r="J94" s="16" t="inlineStr">
        <is>
          <t>estimation (acquis du primaire, non chiffre)</t>
        </is>
      </c>
    </row>
    <row r="95" ht="15" customHeight="1" s="10">
      <c r="A95" s="17" t="inlineStr">
        <is>
          <t>D.STAT1</t>
        </is>
      </c>
      <c r="B95" s="17" t="inlineStr">
        <is>
          <t>Donnees, proportionnalite, statistique</t>
        </is>
      </c>
      <c r="C95" s="17" t="inlineStr">
        <is>
          <t>Statistique du college</t>
        </is>
      </c>
      <c r="D95" s="18" t="inlineStr">
        <is>
          <t>Effectif, frequence, moyenne, moyenne ponderee, diagramme.</t>
        </is>
      </c>
      <c r="E95" s="17" t="inlineStr">
        <is>
          <t>4eme</t>
        </is>
      </c>
      <c r="F95" s="17" t="inlineStr">
        <is>
          <t>4e ch12 / 3e ch19</t>
        </is>
      </c>
      <c r="G95" s="17" t="inlineStr">
        <is>
          <t>OUI</t>
        </is>
      </c>
      <c r="H95" s="17" t="inlineStr">
        <is>
          <t>D.TAB ; D.POUR</t>
        </is>
      </c>
      <c r="I95" s="17" t="n">
        <v>9</v>
      </c>
      <c r="J95" s="18" t="inlineStr">
        <is>
          <t>curriculum ou guide de l'enseignant</t>
        </is>
      </c>
    </row>
    <row r="96" ht="23.85" customHeight="1" s="10">
      <c r="A96" s="15" t="inlineStr">
        <is>
          <t>D.STAT2</t>
        </is>
      </c>
      <c r="B96" s="15" t="inlineStr">
        <is>
          <t>Donnees, proportionnalite, statistique</t>
        </is>
      </c>
      <c r="C96" s="15" t="inlineStr">
        <is>
          <t>Statistique du lycee</t>
        </is>
      </c>
      <c r="D96" s="16" t="inlineStr">
        <is>
          <t>Moyenne, mediane, mode, parametres de dispersion.</t>
        </is>
      </c>
      <c r="E96" s="15" t="inlineStr">
        <is>
          <t>2ndeC</t>
        </is>
      </c>
      <c r="F96" s="15" t="inlineStr">
        <is>
          <t>2nde ch12</t>
        </is>
      </c>
      <c r="G96" s="15" t="inlineStr">
        <is>
          <t>non</t>
        </is>
      </c>
      <c r="H96" s="15" t="inlineStr">
        <is>
          <t>D.STAT1</t>
        </is>
      </c>
      <c r="I96" s="15" t="inlineStr">
        <is>
          <t>non disponible</t>
        </is>
      </c>
      <c r="J96" s="16" t="inlineStr">
        <is>
          <t>lycee : pas de volume par chapitre dans les documents officiels</t>
        </is>
      </c>
    </row>
    <row r="97" ht="23.85" customHeight="1" s="10">
      <c r="A97" s="17" t="inlineStr">
        <is>
          <t>D.DEN</t>
        </is>
      </c>
      <c r="B97" s="17" t="inlineStr">
        <is>
          <t>Donnees, proportionnalite, statistique</t>
        </is>
      </c>
      <c r="C97" s="17" t="inlineStr">
        <is>
          <t>Denombrement</t>
        </is>
      </c>
      <c r="D97" s="18" t="inlineStr">
        <is>
          <t>Arrangements, combinaisons, formule du binome.</t>
        </is>
      </c>
      <c r="E97" s="17" t="inlineStr">
        <is>
          <t>1ereD</t>
        </is>
      </c>
      <c r="F97" s="17" t="inlineStr">
        <is>
          <t>1ere ch10</t>
        </is>
      </c>
      <c r="G97" s="17" t="inlineStr">
        <is>
          <t>non</t>
        </is>
      </c>
      <c r="H97" s="17" t="inlineStr">
        <is>
          <t>N.MUL</t>
        </is>
      </c>
      <c r="I97" s="17" t="inlineStr">
        <is>
          <t>non disponible</t>
        </is>
      </c>
      <c r="J97" s="18" t="inlineStr">
        <is>
          <t>lycee : pas de volume par chapitre dans les documents officiels</t>
        </is>
      </c>
    </row>
    <row r="98" ht="23.85" customHeight="1" s="10">
      <c r="A98" s="15" t="inlineStr">
        <is>
          <t>S.SUI</t>
        </is>
      </c>
      <c r="B98" s="15" t="inlineStr">
        <is>
          <t>Suites et raisonnement</t>
        </is>
      </c>
      <c r="C98" s="15" t="inlineStr">
        <is>
          <t>Suites arithmetiques et geometriques</t>
        </is>
      </c>
      <c r="D98" s="16" t="inlineStr">
        <is>
          <t>Terme general et somme des premiers termes.</t>
        </is>
      </c>
      <c r="E98" s="15" t="inlineStr">
        <is>
          <t>1ereD</t>
        </is>
      </c>
      <c r="F98" s="15" t="inlineStr">
        <is>
          <t>1ere ch4</t>
        </is>
      </c>
      <c r="G98" s="15" t="inlineStr">
        <is>
          <t>non</t>
        </is>
      </c>
      <c r="H98" s="15" t="inlineStr">
        <is>
          <t>L.EQ1 ; N.PUI</t>
        </is>
      </c>
      <c r="I98" s="15" t="inlineStr">
        <is>
          <t>non disponible</t>
        </is>
      </c>
      <c r="J98" s="16" t="inlineStr">
        <is>
          <t>lycee : pas de volume par chapitre dans les documents officiels</t>
        </is>
      </c>
    </row>
    <row r="99" ht="23.85" customHeight="1" s="10">
      <c r="A99" s="17" t="inlineStr">
        <is>
          <t>S.REC</t>
        </is>
      </c>
      <c r="B99" s="17" t="inlineStr">
        <is>
          <t>Suites et raisonnement</t>
        </is>
      </c>
      <c r="C99" s="17" t="inlineStr">
        <is>
          <t>Raisonnement par recurrence</t>
        </is>
      </c>
      <c r="D99" s="18" t="inlineStr">
        <is>
          <t>Initialisation, heredite, conclusion.</t>
        </is>
      </c>
      <c r="E99" s="17" t="inlineStr">
        <is>
          <t>1ereD</t>
        </is>
      </c>
      <c r="F99" s="17" t="inlineStr">
        <is>
          <t>1ere ch4</t>
        </is>
      </c>
      <c r="G99" s="17" t="inlineStr">
        <is>
          <t>non</t>
        </is>
      </c>
      <c r="H99" s="17" t="inlineStr">
        <is>
          <t>S.SUI</t>
        </is>
      </c>
      <c r="I99" s="17" t="inlineStr">
        <is>
          <t>non disponible</t>
        </is>
      </c>
      <c r="J99" s="18" t="inlineStr">
        <is>
          <t>lycee : pas de volume par chapitre dans les documents officiels</t>
        </is>
      </c>
    </row>
    <row r="100" ht="15" customHeight="1" s="10">
      <c r="A100" s="15" t="inlineStr">
        <is>
          <t>T.TRIR</t>
        </is>
      </c>
      <c r="B100" s="15" t="inlineStr">
        <is>
          <t>Trigonometrie</t>
        </is>
      </c>
      <c r="C100" s="15" t="inlineStr">
        <is>
          <t>Trigonometrie dans le triangle rectangle</t>
        </is>
      </c>
      <c r="D100" s="16" t="inlineStr">
        <is>
          <t>Sinus, cosinus, tangente d'un angle aigu.</t>
        </is>
      </c>
      <c r="E100" s="15" t="inlineStr">
        <is>
          <t>3eme</t>
        </is>
      </c>
      <c r="F100" s="15" t="inlineStr">
        <is>
          <t>3e ch14</t>
        </is>
      </c>
      <c r="G100" s="15" t="inlineStr">
        <is>
          <t>OUI</t>
        </is>
      </c>
      <c r="H100" s="15" t="inlineStr">
        <is>
          <t>G.PYT ; D.PROP</t>
        </is>
      </c>
      <c r="I100" s="15" t="n">
        <v>6</v>
      </c>
      <c r="J100" s="16" t="inlineStr">
        <is>
          <t>curriculum ou guide de l'enseignant</t>
        </is>
      </c>
    </row>
    <row r="101" ht="23.85" customHeight="1" s="10">
      <c r="A101" s="17" t="inlineStr">
        <is>
          <t>T.TRIG</t>
        </is>
      </c>
      <c r="B101" s="17" t="inlineStr">
        <is>
          <t>Trigonometrie</t>
        </is>
      </c>
      <c r="C101" s="17" t="inlineStr">
        <is>
          <t>Trigonometrie : valeurs et formules</t>
        </is>
      </c>
      <c r="D101" s="18" t="inlineStr">
        <is>
          <t>Valeurs remarquables et formules d'addition.</t>
        </is>
      </c>
      <c r="E101" s="17" t="inlineStr">
        <is>
          <t>1ereD</t>
        </is>
      </c>
      <c r="F101" s="17" t="inlineStr">
        <is>
          <t>1ere ch5</t>
        </is>
      </c>
      <c r="G101" s="17" t="inlineStr">
        <is>
          <t>non</t>
        </is>
      </c>
      <c r="H101" s="17" t="inlineStr">
        <is>
          <t>F.CIRC</t>
        </is>
      </c>
      <c r="I101" s="17" t="inlineStr">
        <is>
          <t>non disponible</t>
        </is>
      </c>
      <c r="J101" s="18" t="inlineStr">
        <is>
          <t>lycee : pas de volume par chapitre dans les documents officiels</t>
        </is>
      </c>
    </row>
    <row r="102" ht="23.85" customHeight="1" s="10">
      <c r="A102" s="15" t="inlineStr">
        <is>
          <t>T.EQT</t>
        </is>
      </c>
      <c r="B102" s="15" t="inlineStr">
        <is>
          <t>Trigonometrie</t>
        </is>
      </c>
      <c r="C102" s="15" t="inlineStr">
        <is>
          <t>Equations trigonometriques</t>
        </is>
      </c>
      <c r="D102" s="16" t="inlineStr">
        <is>
          <t>Resoudre equations et inequations trigonometriques.</t>
        </is>
      </c>
      <c r="E102" s="15" t="inlineStr">
        <is>
          <t>1ereD</t>
        </is>
      </c>
      <c r="F102" s="15" t="inlineStr">
        <is>
          <t>1ere ch5</t>
        </is>
      </c>
      <c r="G102" s="15" t="inlineStr">
        <is>
          <t>non</t>
        </is>
      </c>
      <c r="H102" s="15" t="inlineStr">
        <is>
          <t>T.TRIG</t>
        </is>
      </c>
      <c r="I102" s="15" t="inlineStr">
        <is>
          <t>non disponible</t>
        </is>
      </c>
      <c r="J102" s="16" t="inlineStr">
        <is>
          <t>lycee : pas de volume par chapitre dans les documents officiels</t>
        </is>
      </c>
    </row>
  </sheetData>
  <autoFilter ref="A1:J10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F117"/>
  <sheetViews>
    <sheetView workbookViewId="0">
      <pane ySplit="1" topLeftCell="A2" activePane="bottomLeft" state="frozen"/>
      <selection pane="bottomLeft" activeCell="A1" sqref="A1"/>
    </sheetView>
  </sheetViews>
  <sheetFormatPr baseColWidth="8" defaultRowHeight="15"/>
  <cols>
    <col width="17" customWidth="1" style="10" min="1" max="1"/>
    <col width="20" customWidth="1" style="10" min="2" max="2"/>
    <col width="34" customWidth="1" style="10" min="3" max="3"/>
    <col width="15" customWidth="1" style="10" min="4" max="4"/>
    <col width="15" customWidth="1" style="10" min="5" max="5"/>
    <col width="13" customWidth="1" style="10" min="6" max="6"/>
  </cols>
  <sheetData>
    <row r="1" ht="30" customHeight="1" s="10">
      <c r="A1" s="19" t="inlineStr">
        <is>
          <t>Test d'entrée en</t>
        </is>
      </c>
      <c r="B1" s="19" t="inlineStr">
        <is>
          <t>Code local (matrice)</t>
        </is>
      </c>
      <c r="C1" s="19" t="inlineStr">
        <is>
          <t>Code(s) canonique(s)</t>
        </is>
      </c>
      <c r="D1" s="19" t="inlineStr">
        <is>
          <t>Questions attendues en partie A</t>
        </is>
      </c>
      <c r="E1" s="19" t="inlineStr">
        <is>
          <t>Questions attendues en partie B</t>
        </is>
      </c>
      <c r="F1" s="19" t="inlineStr">
        <is>
          <t>Total attendu A + B</t>
        </is>
      </c>
    </row>
    <row r="2">
      <c r="A2" s="20" t="inlineStr">
        <is>
          <t>6eme</t>
        </is>
      </c>
      <c r="B2" s="20" t="inlineStr">
        <is>
          <t>N-a</t>
        </is>
      </c>
      <c r="C2" s="20" t="inlineStr">
        <is>
          <t>N.NUM</t>
        </is>
      </c>
      <c r="D2" s="21" t="n">
        <v>1</v>
      </c>
      <c r="E2" s="21" t="n">
        <v>0</v>
      </c>
      <c r="F2" s="21" t="n">
        <v>1</v>
      </c>
    </row>
    <row r="3">
      <c r="A3" s="22" t="inlineStr">
        <is>
          <t>6eme</t>
        </is>
      </c>
      <c r="B3" s="22" t="inlineStr">
        <is>
          <t>N-b</t>
        </is>
      </c>
      <c r="C3" s="22" t="inlineStr">
        <is>
          <t>N.CMP</t>
        </is>
      </c>
      <c r="D3" s="23" t="n">
        <v>1</v>
      </c>
      <c r="E3" s="23" t="n">
        <v>0</v>
      </c>
      <c r="F3" s="23" t="n">
        <v>1</v>
      </c>
    </row>
    <row r="4">
      <c r="A4" s="20" t="inlineStr">
        <is>
          <t>6eme</t>
        </is>
      </c>
      <c r="B4" s="20" t="inlineStr">
        <is>
          <t>N-c</t>
        </is>
      </c>
      <c r="C4" s="20" t="inlineStr">
        <is>
          <t>N.ADD</t>
        </is>
      </c>
      <c r="D4" s="21" t="n">
        <v>1</v>
      </c>
      <c r="E4" s="21" t="n">
        <v>1</v>
      </c>
      <c r="F4" s="21" t="n">
        <v>2</v>
      </c>
    </row>
    <row r="5">
      <c r="A5" s="22" t="inlineStr">
        <is>
          <t>6eme</t>
        </is>
      </c>
      <c r="B5" s="22" t="inlineStr">
        <is>
          <t>N-d</t>
        </is>
      </c>
      <c r="C5" s="22" t="inlineStr">
        <is>
          <t>N.MUL</t>
        </is>
      </c>
      <c r="D5" s="23" t="n">
        <v>1</v>
      </c>
      <c r="E5" s="23" t="n">
        <v>1</v>
      </c>
      <c r="F5" s="23" t="n">
        <v>2</v>
      </c>
    </row>
    <row r="6">
      <c r="A6" s="20" t="inlineStr">
        <is>
          <t>6eme</t>
        </is>
      </c>
      <c r="B6" s="20" t="inlineStr">
        <is>
          <t>N-e</t>
        </is>
      </c>
      <c r="C6" s="20" t="inlineStr">
        <is>
          <t>N.DIVE</t>
        </is>
      </c>
      <c r="D6" s="21" t="n">
        <v>1</v>
      </c>
      <c r="E6" s="21" t="n">
        <v>1</v>
      </c>
      <c r="F6" s="21" t="n">
        <v>2</v>
      </c>
    </row>
    <row r="7">
      <c r="A7" s="22" t="inlineStr">
        <is>
          <t>6eme</t>
        </is>
      </c>
      <c r="B7" s="22" t="inlineStr">
        <is>
          <t>N-f</t>
        </is>
      </c>
      <c r="C7" s="22" t="inlineStr">
        <is>
          <t>N.FRA1</t>
        </is>
      </c>
      <c r="D7" s="23" t="n">
        <v>1</v>
      </c>
      <c r="E7" s="23" t="n">
        <v>1</v>
      </c>
      <c r="F7" s="23" t="n">
        <v>2</v>
      </c>
    </row>
    <row r="8">
      <c r="A8" s="20" t="inlineStr">
        <is>
          <t>6eme</t>
        </is>
      </c>
      <c r="B8" s="20" t="inlineStr">
        <is>
          <t>N-g</t>
        </is>
      </c>
      <c r="C8" s="20" t="inlineStr">
        <is>
          <t>N.PROB</t>
        </is>
      </c>
      <c r="D8" s="21" t="n">
        <v>1</v>
      </c>
      <c r="E8" s="21" t="n">
        <v>1</v>
      </c>
      <c r="F8" s="21" t="n">
        <v>2</v>
      </c>
    </row>
    <row r="9">
      <c r="A9" s="22" t="inlineStr">
        <is>
          <t>6eme</t>
        </is>
      </c>
      <c r="B9" s="22" t="inlineStr">
        <is>
          <t>M-a</t>
        </is>
      </c>
      <c r="C9" s="22" t="inlineStr">
        <is>
          <t>M.CONV</t>
        </is>
      </c>
      <c r="D9" s="23" t="n">
        <v>1</v>
      </c>
      <c r="E9" s="23" t="n">
        <v>0</v>
      </c>
      <c r="F9" s="23" t="n">
        <v>1</v>
      </c>
    </row>
    <row r="10">
      <c r="A10" s="20" t="inlineStr">
        <is>
          <t>6eme</t>
        </is>
      </c>
      <c r="B10" s="20" t="inlineStr">
        <is>
          <t>M-b</t>
        </is>
      </c>
      <c r="C10" s="20" t="inlineStr">
        <is>
          <t>M.PER</t>
        </is>
      </c>
      <c r="D10" s="21" t="n">
        <v>1</v>
      </c>
      <c r="E10" s="21" t="n">
        <v>1</v>
      </c>
      <c r="F10" s="21" t="n">
        <v>2</v>
      </c>
    </row>
    <row r="11">
      <c r="A11" s="22" t="inlineStr">
        <is>
          <t>6eme</t>
        </is>
      </c>
      <c r="B11" s="22" t="inlineStr">
        <is>
          <t>M-c</t>
        </is>
      </c>
      <c r="C11" s="22" t="inlineStr">
        <is>
          <t>M.AIRE</t>
        </is>
      </c>
      <c r="D11" s="23" t="n">
        <v>1</v>
      </c>
      <c r="E11" s="23" t="n">
        <v>1</v>
      </c>
      <c r="F11" s="23" t="n">
        <v>2</v>
      </c>
    </row>
    <row r="12">
      <c r="A12" s="20" t="inlineStr">
        <is>
          <t>6eme</t>
        </is>
      </c>
      <c r="B12" s="20" t="inlineStr">
        <is>
          <t>G-a</t>
        </is>
      </c>
      <c r="C12" s="20" t="inlineStr">
        <is>
          <t>G.VOC</t>
        </is>
      </c>
      <c r="D12" s="21" t="n">
        <v>1</v>
      </c>
      <c r="E12" s="21" t="n">
        <v>0</v>
      </c>
      <c r="F12" s="21" t="n">
        <v>1</v>
      </c>
    </row>
    <row r="13">
      <c r="A13" s="22" t="inlineStr">
        <is>
          <t>6eme</t>
        </is>
      </c>
      <c r="B13" s="22" t="inlineStr">
        <is>
          <t>G-b</t>
        </is>
      </c>
      <c r="C13" s="22" t="inlineStr">
        <is>
          <t>G.PARA</t>
        </is>
      </c>
      <c r="D13" s="23" t="n">
        <v>1</v>
      </c>
      <c r="E13" s="23" t="n">
        <v>1</v>
      </c>
      <c r="F13" s="23" t="n">
        <v>2</v>
      </c>
    </row>
    <row r="14">
      <c r="A14" s="20" t="inlineStr">
        <is>
          <t>6eme</t>
        </is>
      </c>
      <c r="B14" s="20" t="inlineStr">
        <is>
          <t>G-c</t>
        </is>
      </c>
      <c r="C14" s="20" t="inlineStr">
        <is>
          <t>G.FIG</t>
        </is>
      </c>
      <c r="D14" s="21" t="n">
        <v>1</v>
      </c>
      <c r="E14" s="21" t="n">
        <v>1</v>
      </c>
      <c r="F14" s="21" t="n">
        <v>2</v>
      </c>
    </row>
    <row r="15">
      <c r="A15" s="22" t="inlineStr">
        <is>
          <t>6eme</t>
        </is>
      </c>
      <c r="B15" s="22" t="inlineStr">
        <is>
          <t>G-d</t>
        </is>
      </c>
      <c r="C15" s="22" t="inlineStr">
        <is>
          <t>G.ANG1</t>
        </is>
      </c>
      <c r="D15" s="23" t="n">
        <v>1</v>
      </c>
      <c r="E15" s="23" t="n">
        <v>1</v>
      </c>
      <c r="F15" s="23" t="n">
        <v>2</v>
      </c>
    </row>
    <row r="16">
      <c r="A16" s="20" t="inlineStr">
        <is>
          <t>6eme</t>
        </is>
      </c>
      <c r="B16" s="20" t="inlineStr">
        <is>
          <t>D-a</t>
        </is>
      </c>
      <c r="C16" s="20" t="inlineStr">
        <is>
          <t>D.PROP</t>
        </is>
      </c>
      <c r="D16" s="21" t="n">
        <v>1</v>
      </c>
      <c r="E16" s="21" t="n">
        <v>1</v>
      </c>
      <c r="F16" s="21" t="n">
        <v>2</v>
      </c>
    </row>
    <row r="17">
      <c r="A17" s="22" t="inlineStr">
        <is>
          <t>6eme</t>
        </is>
      </c>
      <c r="B17" s="22" t="inlineStr">
        <is>
          <t>D-b</t>
        </is>
      </c>
      <c r="C17" s="22" t="inlineStr">
        <is>
          <t>D.TAB ; D.POUR</t>
        </is>
      </c>
      <c r="D17" s="23" t="n">
        <v>1</v>
      </c>
      <c r="E17" s="23" t="n">
        <v>0</v>
      </c>
      <c r="F17" s="23" t="n">
        <v>1</v>
      </c>
    </row>
    <row r="18">
      <c r="A18" s="20" t="inlineStr">
        <is>
          <t>5eme</t>
        </is>
      </c>
      <c r="B18" s="20" t="inlineStr">
        <is>
          <t>N-a</t>
        </is>
      </c>
      <c r="C18" s="20" t="inlineStr">
        <is>
          <t>N.NUM ; N.CMP</t>
        </is>
      </c>
      <c r="D18" s="21" t="n">
        <v>1</v>
      </c>
      <c r="E18" s="21" t="n">
        <v>0</v>
      </c>
      <c r="F18" s="21" t="n">
        <v>1</v>
      </c>
    </row>
    <row r="19">
      <c r="A19" s="22" t="inlineStr">
        <is>
          <t>5eme</t>
        </is>
      </c>
      <c r="B19" s="22" t="inlineStr">
        <is>
          <t>N-b</t>
        </is>
      </c>
      <c r="C19" s="22" t="inlineStr">
        <is>
          <t>N.PRIO</t>
        </is>
      </c>
      <c r="D19" s="23" t="n">
        <v>1</v>
      </c>
      <c r="E19" s="23" t="n">
        <v>1</v>
      </c>
      <c r="F19" s="23" t="n">
        <v>2</v>
      </c>
    </row>
    <row r="20">
      <c r="A20" s="20" t="inlineStr">
        <is>
          <t>5eme</t>
        </is>
      </c>
      <c r="B20" s="20" t="inlineStr">
        <is>
          <t>N-c</t>
        </is>
      </c>
      <c r="C20" s="20" t="inlineStr">
        <is>
          <t>N.AST</t>
        </is>
      </c>
      <c r="D20" s="21" t="n">
        <v>1</v>
      </c>
      <c r="E20" s="21" t="n">
        <v>0</v>
      </c>
      <c r="F20" s="21" t="n">
        <v>1</v>
      </c>
    </row>
    <row r="21">
      <c r="A21" s="22" t="inlineStr">
        <is>
          <t>5eme</t>
        </is>
      </c>
      <c r="B21" s="22" t="inlineStr">
        <is>
          <t>N-d</t>
        </is>
      </c>
      <c r="C21" s="22" t="inlineStr">
        <is>
          <t>N.FRA1</t>
        </is>
      </c>
      <c r="D21" s="23" t="n">
        <v>1</v>
      </c>
      <c r="E21" s="23" t="n">
        <v>1</v>
      </c>
      <c r="F21" s="23" t="n">
        <v>2</v>
      </c>
    </row>
    <row r="22">
      <c r="A22" s="20" t="inlineStr">
        <is>
          <t>5eme</t>
        </is>
      </c>
      <c r="B22" s="20" t="inlineStr">
        <is>
          <t>N-e</t>
        </is>
      </c>
      <c r="C22" s="20" t="inlineStr">
        <is>
          <t>N.REL</t>
        </is>
      </c>
      <c r="D22" s="21" t="n">
        <v>1</v>
      </c>
      <c r="E22" s="21" t="n">
        <v>1</v>
      </c>
      <c r="F22" s="21" t="n">
        <v>2</v>
      </c>
    </row>
    <row r="23">
      <c r="A23" s="22" t="inlineStr">
        <is>
          <t>5eme</t>
        </is>
      </c>
      <c r="B23" s="22" t="inlineStr">
        <is>
          <t>N-f</t>
        </is>
      </c>
      <c r="C23" s="22" t="inlineStr">
        <is>
          <t>N.EGT</t>
        </is>
      </c>
      <c r="D23" s="23" t="n">
        <v>1</v>
      </c>
      <c r="E23" s="23" t="n">
        <v>1</v>
      </c>
      <c r="F23" s="23" t="n">
        <v>2</v>
      </c>
    </row>
    <row r="24">
      <c r="A24" s="20" t="inlineStr">
        <is>
          <t>5eme</t>
        </is>
      </c>
      <c r="B24" s="20" t="inlineStr">
        <is>
          <t>M-a</t>
        </is>
      </c>
      <c r="C24" s="20" t="inlineStr">
        <is>
          <t>M.CONV ; M.PER</t>
        </is>
      </c>
      <c r="D24" s="21" t="n">
        <v>1</v>
      </c>
      <c r="E24" s="21" t="n">
        <v>1</v>
      </c>
      <c r="F24" s="21" t="n">
        <v>2</v>
      </c>
    </row>
    <row r="25">
      <c r="A25" s="22" t="inlineStr">
        <is>
          <t>5eme</t>
        </is>
      </c>
      <c r="B25" s="22" t="inlineStr">
        <is>
          <t>M-b</t>
        </is>
      </c>
      <c r="C25" s="22" t="inlineStr">
        <is>
          <t>M.AIRE</t>
        </is>
      </c>
      <c r="D25" s="23" t="n">
        <v>1</v>
      </c>
      <c r="E25" s="23" t="n">
        <v>1</v>
      </c>
      <c r="F25" s="23" t="n">
        <v>2</v>
      </c>
    </row>
    <row r="26">
      <c r="A26" s="20" t="inlineStr">
        <is>
          <t>5eme</t>
        </is>
      </c>
      <c r="B26" s="20" t="inlineStr">
        <is>
          <t>M-c</t>
        </is>
      </c>
      <c r="C26" s="20" t="inlineStr">
        <is>
          <t>M.VOL ; G.SOL1</t>
        </is>
      </c>
      <c r="D26" s="21" t="n">
        <v>1</v>
      </c>
      <c r="E26" s="21" t="n">
        <v>0</v>
      </c>
      <c r="F26" s="21" t="n">
        <v>1</v>
      </c>
    </row>
    <row r="27">
      <c r="A27" s="22" t="inlineStr">
        <is>
          <t>5eme</t>
        </is>
      </c>
      <c r="B27" s="22" t="inlineStr">
        <is>
          <t>G-a</t>
        </is>
      </c>
      <c r="C27" s="22" t="inlineStr">
        <is>
          <t>G.PARA ; G.VOC</t>
        </is>
      </c>
      <c r="D27" s="23" t="n">
        <v>1</v>
      </c>
      <c r="E27" s="23" t="n">
        <v>0</v>
      </c>
      <c r="F27" s="23" t="n">
        <v>1</v>
      </c>
    </row>
    <row r="28">
      <c r="A28" s="20" t="inlineStr">
        <is>
          <t>5eme</t>
        </is>
      </c>
      <c r="B28" s="20" t="inlineStr">
        <is>
          <t>G-b</t>
        </is>
      </c>
      <c r="C28" s="20" t="inlineStr">
        <is>
          <t>G.ANG1 ; G.ANG2</t>
        </is>
      </c>
      <c r="D28" s="21" t="n">
        <v>1</v>
      </c>
      <c r="E28" s="21" t="n">
        <v>1</v>
      </c>
      <c r="F28" s="21" t="n">
        <v>2</v>
      </c>
    </row>
    <row r="29">
      <c r="A29" s="22" t="inlineStr">
        <is>
          <t>5eme</t>
        </is>
      </c>
      <c r="B29" s="22" t="inlineStr">
        <is>
          <t>G-c</t>
        </is>
      </c>
      <c r="C29" s="22" t="inlineStr">
        <is>
          <t>G.TRI</t>
        </is>
      </c>
      <c r="D29" s="23" t="n">
        <v>1</v>
      </c>
      <c r="E29" s="23" t="n">
        <v>1</v>
      </c>
      <c r="F29" s="23" t="n">
        <v>2</v>
      </c>
    </row>
    <row r="30">
      <c r="A30" s="20" t="inlineStr">
        <is>
          <t>5eme</t>
        </is>
      </c>
      <c r="B30" s="20" t="inlineStr">
        <is>
          <t>G-d</t>
        </is>
      </c>
      <c r="C30" s="20" t="inlineStr">
        <is>
          <t>G.PARAL</t>
        </is>
      </c>
      <c r="D30" s="21" t="n">
        <v>1</v>
      </c>
      <c r="E30" s="21" t="n">
        <v>1</v>
      </c>
      <c r="F30" s="21" t="n">
        <v>2</v>
      </c>
    </row>
    <row r="31">
      <c r="A31" s="22" t="inlineStr">
        <is>
          <t>5eme</t>
        </is>
      </c>
      <c r="B31" s="22" t="inlineStr">
        <is>
          <t>G-e</t>
        </is>
      </c>
      <c r="C31" s="22" t="inlineStr">
        <is>
          <t>G.CERC ; G.MED ; G.SYMO</t>
        </is>
      </c>
      <c r="D31" s="23" t="n">
        <v>1</v>
      </c>
      <c r="E31" s="23" t="n">
        <v>1</v>
      </c>
      <c r="F31" s="23" t="n">
        <v>2</v>
      </c>
    </row>
    <row r="32">
      <c r="A32" s="20" t="inlineStr">
        <is>
          <t>5eme</t>
        </is>
      </c>
      <c r="B32" s="20" t="inlineStr">
        <is>
          <t>D-a</t>
        </is>
      </c>
      <c r="C32" s="20" t="inlineStr">
        <is>
          <t>D.PROP ; D.POUR</t>
        </is>
      </c>
      <c r="D32" s="21" t="n">
        <v>1</v>
      </c>
      <c r="E32" s="21" t="n">
        <v>1</v>
      </c>
      <c r="F32" s="21" t="n">
        <v>2</v>
      </c>
    </row>
    <row r="33">
      <c r="A33" s="22" t="inlineStr">
        <is>
          <t>5eme</t>
        </is>
      </c>
      <c r="B33" s="22" t="inlineStr">
        <is>
          <t>D-b</t>
        </is>
      </c>
      <c r="C33" s="22" t="inlineStr">
        <is>
          <t>G.REP ; F.REL</t>
        </is>
      </c>
      <c r="D33" s="23" t="n">
        <v>1</v>
      </c>
      <c r="E33" s="23" t="n">
        <v>0</v>
      </c>
      <c r="F33" s="23" t="n">
        <v>1</v>
      </c>
    </row>
    <row r="34">
      <c r="A34" s="20" t="inlineStr">
        <is>
          <t>4eme</t>
        </is>
      </c>
      <c r="B34" s="20" t="inlineStr">
        <is>
          <t>N-a</t>
        </is>
      </c>
      <c r="C34" s="20" t="inlineStr">
        <is>
          <t>N.DIVIS</t>
        </is>
      </c>
      <c r="D34" s="21" t="n">
        <v>1</v>
      </c>
      <c r="E34" s="21" t="n">
        <v>1</v>
      </c>
      <c r="F34" s="21" t="n">
        <v>2</v>
      </c>
    </row>
    <row r="35">
      <c r="A35" s="22" t="inlineStr">
        <is>
          <t>4eme</t>
        </is>
      </c>
      <c r="B35" s="22" t="inlineStr">
        <is>
          <t>N-b</t>
        </is>
      </c>
      <c r="C35" s="22" t="inlineStr">
        <is>
          <t>N.PGCD</t>
        </is>
      </c>
      <c r="D35" s="23" t="n">
        <v>1</v>
      </c>
      <c r="E35" s="23" t="n">
        <v>0</v>
      </c>
      <c r="F35" s="23" t="n">
        <v>1</v>
      </c>
    </row>
    <row r="36">
      <c r="A36" s="20" t="inlineStr">
        <is>
          <t>4eme</t>
        </is>
      </c>
      <c r="B36" s="20" t="inlineStr">
        <is>
          <t>N-c</t>
        </is>
      </c>
      <c r="C36" s="20" t="inlineStr">
        <is>
          <t>N.FRA2</t>
        </is>
      </c>
      <c r="D36" s="21" t="n">
        <v>1</v>
      </c>
      <c r="E36" s="21" t="n">
        <v>1</v>
      </c>
      <c r="F36" s="21" t="n">
        <v>2</v>
      </c>
    </row>
    <row r="37">
      <c r="A37" s="22" t="inlineStr">
        <is>
          <t>4eme</t>
        </is>
      </c>
      <c r="B37" s="22" t="inlineStr">
        <is>
          <t>N-d</t>
        </is>
      </c>
      <c r="C37" s="22" t="inlineStr">
        <is>
          <t>N.RELOP</t>
        </is>
      </c>
      <c r="D37" s="23" t="n">
        <v>1</v>
      </c>
      <c r="E37" s="23" t="n">
        <v>1</v>
      </c>
      <c r="F37" s="23" t="n">
        <v>2</v>
      </c>
    </row>
    <row r="38">
      <c r="A38" s="20" t="inlineStr">
        <is>
          <t>4eme</t>
        </is>
      </c>
      <c r="B38" s="20" t="inlineStr">
        <is>
          <t>N-e</t>
        </is>
      </c>
      <c r="C38" s="20" t="inlineStr">
        <is>
          <t>N.MULD ; L.DEV1</t>
        </is>
      </c>
      <c r="D38" s="21" t="n">
        <v>1</v>
      </c>
      <c r="E38" s="21" t="n">
        <v>1</v>
      </c>
      <c r="F38" s="21" t="n">
        <v>2</v>
      </c>
    </row>
    <row r="39">
      <c r="A39" s="22" t="inlineStr">
        <is>
          <t>4eme</t>
        </is>
      </c>
      <c r="B39" s="22" t="inlineStr">
        <is>
          <t>N-f</t>
        </is>
      </c>
      <c r="C39" s="22" t="inlineStr">
        <is>
          <t>N.PUI</t>
        </is>
      </c>
      <c r="D39" s="23" t="n">
        <v>1</v>
      </c>
      <c r="E39" s="23" t="n">
        <v>1</v>
      </c>
      <c r="F39" s="23" t="n">
        <v>2</v>
      </c>
    </row>
    <row r="40">
      <c r="A40" s="20" t="inlineStr">
        <is>
          <t>4eme</t>
        </is>
      </c>
      <c r="B40" s="20" t="inlineStr">
        <is>
          <t>N-g</t>
        </is>
      </c>
      <c r="C40" s="20" t="inlineStr">
        <is>
          <t>N.VAB</t>
        </is>
      </c>
      <c r="D40" s="21" t="n">
        <v>1</v>
      </c>
      <c r="E40" s="21" t="n">
        <v>0</v>
      </c>
      <c r="F40" s="21" t="n">
        <v>1</v>
      </c>
    </row>
    <row r="41">
      <c r="A41" s="22" t="inlineStr">
        <is>
          <t>4eme</t>
        </is>
      </c>
      <c r="B41" s="22" t="inlineStr">
        <is>
          <t>L-a</t>
        </is>
      </c>
      <c r="C41" s="22" t="inlineStr">
        <is>
          <t>L.EGA</t>
        </is>
      </c>
      <c r="D41" s="23" t="n">
        <v>1</v>
      </c>
      <c r="E41" s="23" t="n">
        <v>0</v>
      </c>
      <c r="F41" s="23" t="n">
        <v>1</v>
      </c>
    </row>
    <row r="42">
      <c r="A42" s="20" t="inlineStr">
        <is>
          <t>4eme</t>
        </is>
      </c>
      <c r="B42" s="20" t="inlineStr">
        <is>
          <t>L-b</t>
        </is>
      </c>
      <c r="C42" s="20" t="inlineStr">
        <is>
          <t>L.EQD</t>
        </is>
      </c>
      <c r="D42" s="21" t="n">
        <v>1</v>
      </c>
      <c r="E42" s="21" t="n">
        <v>1</v>
      </c>
      <c r="F42" s="21" t="n">
        <v>2</v>
      </c>
    </row>
    <row r="43">
      <c r="A43" s="22" t="inlineStr">
        <is>
          <t>4eme</t>
        </is>
      </c>
      <c r="B43" s="22" t="inlineStr">
        <is>
          <t>G-a</t>
        </is>
      </c>
      <c r="C43" s="22" t="inlineStr">
        <is>
          <t>G.SYMC</t>
        </is>
      </c>
      <c r="D43" s="23" t="n">
        <v>1</v>
      </c>
      <c r="E43" s="23" t="n">
        <v>1</v>
      </c>
      <c r="F43" s="23" t="n">
        <v>2</v>
      </c>
    </row>
    <row r="44">
      <c r="A44" s="20" t="inlineStr">
        <is>
          <t>4eme</t>
        </is>
      </c>
      <c r="B44" s="20" t="inlineStr">
        <is>
          <t>G-b</t>
        </is>
      </c>
      <c r="C44" s="20" t="inlineStr">
        <is>
          <t>G.ANG3</t>
        </is>
      </c>
      <c r="D44" s="21" t="n">
        <v>1</v>
      </c>
      <c r="E44" s="21" t="n">
        <v>1</v>
      </c>
      <c r="F44" s="21" t="n">
        <v>2</v>
      </c>
    </row>
    <row r="45">
      <c r="A45" s="22" t="inlineStr">
        <is>
          <t>4eme</t>
        </is>
      </c>
      <c r="B45" s="22" t="inlineStr">
        <is>
          <t>G-c</t>
        </is>
      </c>
      <c r="C45" s="22" t="inlineStr">
        <is>
          <t>G.TRIP</t>
        </is>
      </c>
      <c r="D45" s="23" t="n">
        <v>1</v>
      </c>
      <c r="E45" s="23" t="n">
        <v>1</v>
      </c>
      <c r="F45" s="23" t="n">
        <v>2</v>
      </c>
    </row>
    <row r="46">
      <c r="A46" s="20" t="inlineStr">
        <is>
          <t>4eme</t>
        </is>
      </c>
      <c r="B46" s="20" t="inlineStr">
        <is>
          <t>G-d</t>
        </is>
      </c>
      <c r="C46" s="20" t="inlineStr">
        <is>
          <t>G.SOL1 ; M.VOL</t>
        </is>
      </c>
      <c r="D46" s="21" t="n">
        <v>1</v>
      </c>
      <c r="E46" s="21" t="n">
        <v>1</v>
      </c>
      <c r="F46" s="21" t="n">
        <v>2</v>
      </c>
    </row>
    <row r="47">
      <c r="A47" s="22" t="inlineStr">
        <is>
          <t>4eme</t>
        </is>
      </c>
      <c r="B47" s="22" t="inlineStr">
        <is>
          <t>M-a</t>
        </is>
      </c>
      <c r="C47" s="22" t="inlineStr">
        <is>
          <t>M.MVD</t>
        </is>
      </c>
      <c r="D47" s="23" t="n">
        <v>1</v>
      </c>
      <c r="E47" s="23" t="n">
        <v>0</v>
      </c>
      <c r="F47" s="23" t="n">
        <v>1</v>
      </c>
    </row>
    <row r="48">
      <c r="A48" s="20" t="inlineStr">
        <is>
          <t>4eme</t>
        </is>
      </c>
      <c r="B48" s="20" t="inlineStr">
        <is>
          <t>M-b</t>
        </is>
      </c>
      <c r="C48" s="20" t="inlineStr">
        <is>
          <t>M.ECH</t>
        </is>
      </c>
      <c r="D48" s="21" t="n">
        <v>1</v>
      </c>
      <c r="E48" s="21" t="n">
        <v>0</v>
      </c>
      <c r="F48" s="21" t="n">
        <v>1</v>
      </c>
    </row>
    <row r="49">
      <c r="A49" s="22" t="inlineStr">
        <is>
          <t>4eme</t>
        </is>
      </c>
      <c r="B49" s="22" t="inlineStr">
        <is>
          <t>D-a</t>
        </is>
      </c>
      <c r="C49" s="22" t="inlineStr">
        <is>
          <t>D.PROP ; D.POUR</t>
        </is>
      </c>
      <c r="D49" s="23" t="n">
        <v>1</v>
      </c>
      <c r="E49" s="23" t="n">
        <v>1</v>
      </c>
      <c r="F49" s="23" t="n">
        <v>2</v>
      </c>
    </row>
    <row r="50">
      <c r="A50" s="20" t="inlineStr">
        <is>
          <t>3eme</t>
        </is>
      </c>
      <c r="B50" s="20" t="inlineStr">
        <is>
          <t>N-a</t>
        </is>
      </c>
      <c r="C50" s="20" t="inlineStr">
        <is>
          <t>N.ENS</t>
        </is>
      </c>
      <c r="D50" s="21" t="n">
        <v>1</v>
      </c>
      <c r="E50" s="21" t="n">
        <v>0</v>
      </c>
      <c r="F50" s="21" t="n">
        <v>1</v>
      </c>
    </row>
    <row r="51">
      <c r="A51" s="22" t="inlineStr">
        <is>
          <t>3eme</t>
        </is>
      </c>
      <c r="B51" s="22" t="inlineStr">
        <is>
          <t>N-b</t>
        </is>
      </c>
      <c r="C51" s="22" t="inlineStr">
        <is>
          <t>N.SCI</t>
        </is>
      </c>
      <c r="D51" s="23" t="n">
        <v>1</v>
      </c>
      <c r="E51" s="23" t="n">
        <v>1</v>
      </c>
      <c r="F51" s="23" t="n">
        <v>2</v>
      </c>
    </row>
    <row r="52">
      <c r="A52" s="20" t="inlineStr">
        <is>
          <t>3eme</t>
        </is>
      </c>
      <c r="B52" s="20" t="inlineStr">
        <is>
          <t>N-c</t>
        </is>
      </c>
      <c r="C52" s="20" t="inlineStr">
        <is>
          <t>N.RAT</t>
        </is>
      </c>
      <c r="D52" s="21" t="n">
        <v>1</v>
      </c>
      <c r="E52" s="21" t="n">
        <v>1</v>
      </c>
      <c r="F52" s="21" t="n">
        <v>2</v>
      </c>
    </row>
    <row r="53">
      <c r="A53" s="22" t="inlineStr">
        <is>
          <t>3eme</t>
        </is>
      </c>
      <c r="B53" s="22" t="inlineStr">
        <is>
          <t>N-d</t>
        </is>
      </c>
      <c r="C53" s="22" t="inlineStr">
        <is>
          <t>N.APP</t>
        </is>
      </c>
      <c r="D53" s="23" t="n">
        <v>1</v>
      </c>
      <c r="E53" s="23" t="n">
        <v>1</v>
      </c>
      <c r="F53" s="23" t="n">
        <v>2</v>
      </c>
    </row>
    <row r="54">
      <c r="A54" s="20" t="inlineStr">
        <is>
          <t>3eme</t>
        </is>
      </c>
      <c r="B54" s="20" t="inlineStr">
        <is>
          <t>L-a</t>
        </is>
      </c>
      <c r="C54" s="20" t="inlineStr">
        <is>
          <t>L.DEV1 ; L.IDR</t>
        </is>
      </c>
      <c r="D54" s="21" t="n">
        <v>1</v>
      </c>
      <c r="E54" s="21" t="n">
        <v>1</v>
      </c>
      <c r="F54" s="21" t="n">
        <v>2</v>
      </c>
    </row>
    <row r="55">
      <c r="A55" s="22" t="inlineStr">
        <is>
          <t>3eme</t>
        </is>
      </c>
      <c r="B55" s="22" t="inlineStr">
        <is>
          <t>L-b</t>
        </is>
      </c>
      <c r="C55" s="22" t="inlineStr">
        <is>
          <t>L.FAC1 ; L.FAC2</t>
        </is>
      </c>
      <c r="D55" s="23" t="n">
        <v>1</v>
      </c>
      <c r="E55" s="23" t="n">
        <v>1</v>
      </c>
      <c r="F55" s="23" t="n">
        <v>2</v>
      </c>
    </row>
    <row r="56">
      <c r="A56" s="20" t="inlineStr">
        <is>
          <t>3eme</t>
        </is>
      </c>
      <c r="B56" s="20" t="inlineStr">
        <is>
          <t>L-c</t>
        </is>
      </c>
      <c r="C56" s="20" t="inlineStr">
        <is>
          <t>L.EQ1 ; L.MISE</t>
        </is>
      </c>
      <c r="D56" s="21" t="n">
        <v>1</v>
      </c>
      <c r="E56" s="21" t="n">
        <v>1</v>
      </c>
      <c r="F56" s="21" t="n">
        <v>2</v>
      </c>
    </row>
    <row r="57">
      <c r="A57" s="22" t="inlineStr">
        <is>
          <t>3eme</t>
        </is>
      </c>
      <c r="B57" s="22" t="inlineStr">
        <is>
          <t>L-d</t>
        </is>
      </c>
      <c r="C57" s="22" t="inlineStr">
        <is>
          <t>L.INEQ1 ; L.MISE</t>
        </is>
      </c>
      <c r="D57" s="23" t="n">
        <v>1</v>
      </c>
      <c r="E57" s="23" t="n">
        <v>0</v>
      </c>
      <c r="F57" s="23" t="n">
        <v>1</v>
      </c>
    </row>
    <row r="58">
      <c r="A58" s="20" t="inlineStr">
        <is>
          <t>3eme</t>
        </is>
      </c>
      <c r="B58" s="20" t="inlineStr">
        <is>
          <t>G-a</t>
        </is>
      </c>
      <c r="C58" s="20" t="inlineStr">
        <is>
          <t>G.ABS</t>
        </is>
      </c>
      <c r="D58" s="21" t="n">
        <v>1</v>
      </c>
      <c r="E58" s="21" t="n">
        <v>0</v>
      </c>
      <c r="F58" s="21" t="n">
        <v>1</v>
      </c>
    </row>
    <row r="59">
      <c r="A59" s="22" t="inlineStr">
        <is>
          <t>3eme</t>
        </is>
      </c>
      <c r="B59" s="22" t="inlineStr">
        <is>
          <t>G-b</t>
        </is>
      </c>
      <c r="C59" s="22" t="inlineStr">
        <is>
          <t>G.REP</t>
        </is>
      </c>
      <c r="D59" s="23" t="n">
        <v>1</v>
      </c>
      <c r="E59" s="23" t="n">
        <v>0</v>
      </c>
      <c r="F59" s="23" t="n">
        <v>1</v>
      </c>
    </row>
    <row r="60">
      <c r="A60" s="20" t="inlineStr">
        <is>
          <t>3eme</t>
        </is>
      </c>
      <c r="B60" s="20" t="inlineStr">
        <is>
          <t>G-c</t>
        </is>
      </c>
      <c r="C60" s="20" t="inlineStr">
        <is>
          <t>G.VEC</t>
        </is>
      </c>
      <c r="D60" s="21" t="n">
        <v>1</v>
      </c>
      <c r="E60" s="21" t="n">
        <v>1</v>
      </c>
      <c r="F60" s="21" t="n">
        <v>2</v>
      </c>
    </row>
    <row r="61">
      <c r="A61" s="22" t="inlineStr">
        <is>
          <t>3eme</t>
        </is>
      </c>
      <c r="B61" s="22" t="inlineStr">
        <is>
          <t>G-d</t>
        </is>
      </c>
      <c r="C61" s="22" t="inlineStr">
        <is>
          <t>G.PROJ</t>
        </is>
      </c>
      <c r="D61" s="23" t="n">
        <v>1</v>
      </c>
      <c r="E61" s="23" t="n">
        <v>1</v>
      </c>
      <c r="F61" s="23" t="n">
        <v>2</v>
      </c>
    </row>
    <row r="62">
      <c r="A62" s="20" t="inlineStr">
        <is>
          <t>3eme</t>
        </is>
      </c>
      <c r="B62" s="20" t="inlineStr">
        <is>
          <t>G-e</t>
        </is>
      </c>
      <c r="C62" s="20" t="inlineStr">
        <is>
          <t>G.TRANS</t>
        </is>
      </c>
      <c r="D62" s="21" t="n">
        <v>1</v>
      </c>
      <c r="E62" s="21" t="n">
        <v>0</v>
      </c>
      <c r="F62" s="21" t="n">
        <v>1</v>
      </c>
    </row>
    <row r="63">
      <c r="A63" s="22" t="inlineStr">
        <is>
          <t>3eme</t>
        </is>
      </c>
      <c r="B63" s="22" t="inlineStr">
        <is>
          <t>G-f</t>
        </is>
      </c>
      <c r="C63" s="22" t="inlineStr">
        <is>
          <t>G.POLY</t>
        </is>
      </c>
      <c r="D63" s="23" t="n">
        <v>1</v>
      </c>
      <c r="E63" s="23" t="n">
        <v>0</v>
      </c>
      <c r="F63" s="23" t="n">
        <v>1</v>
      </c>
    </row>
    <row r="64">
      <c r="A64" s="20" t="inlineStr">
        <is>
          <t>3eme</t>
        </is>
      </c>
      <c r="B64" s="20" t="inlineStr">
        <is>
          <t>F-a</t>
        </is>
      </c>
      <c r="C64" s="20" t="inlineStr">
        <is>
          <t>F.APP</t>
        </is>
      </c>
      <c r="D64" s="21" t="n">
        <v>0</v>
      </c>
      <c r="E64" s="21" t="n">
        <v>1</v>
      </c>
      <c r="F64" s="21" t="n">
        <v>1</v>
      </c>
    </row>
    <row r="65">
      <c r="A65" s="22" t="inlineStr">
        <is>
          <t>3eme</t>
        </is>
      </c>
      <c r="B65" s="22" t="inlineStr">
        <is>
          <t>D-a</t>
        </is>
      </c>
      <c r="C65" s="22" t="inlineStr">
        <is>
          <t>D.STAT1</t>
        </is>
      </c>
      <c r="D65" s="23" t="n">
        <v>1</v>
      </c>
      <c r="E65" s="23" t="n">
        <v>1</v>
      </c>
      <c r="F65" s="23" t="n">
        <v>2</v>
      </c>
    </row>
    <row r="66">
      <c r="A66" s="20" t="inlineStr">
        <is>
          <t>3eme</t>
        </is>
      </c>
      <c r="B66" s="20" t="inlineStr">
        <is>
          <t>D-b</t>
        </is>
      </c>
      <c r="C66" s="20" t="inlineStr">
        <is>
          <t>D.PROP ; D.POUR ; M.ECH</t>
        </is>
      </c>
      <c r="D66" s="21" t="n">
        <v>1</v>
      </c>
      <c r="E66" s="21" t="n">
        <v>1</v>
      </c>
      <c r="F66" s="21" t="n">
        <v>2</v>
      </c>
    </row>
    <row r="67">
      <c r="A67" s="22" t="inlineStr">
        <is>
          <t>2ndeC</t>
        </is>
      </c>
      <c r="B67" s="22" t="inlineStr">
        <is>
          <t>N-a</t>
        </is>
      </c>
      <c r="C67" s="22" t="inlineStr">
        <is>
          <t>N.RAT ; N.PRIO</t>
        </is>
      </c>
      <c r="D67" s="23" t="n">
        <v>1</v>
      </c>
      <c r="E67" s="23" t="n">
        <v>0</v>
      </c>
      <c r="F67" s="23" t="n">
        <v>1</v>
      </c>
    </row>
    <row r="68">
      <c r="A68" s="20" t="inlineStr">
        <is>
          <t>2ndeC</t>
        </is>
      </c>
      <c r="B68" s="20" t="inlineStr">
        <is>
          <t>N-b</t>
        </is>
      </c>
      <c r="C68" s="20" t="inlineStr">
        <is>
          <t>N.PUI ; N.SCI</t>
        </is>
      </c>
      <c r="D68" s="21" t="n">
        <v>1</v>
      </c>
      <c r="E68" s="21" t="n">
        <v>0</v>
      </c>
      <c r="F68" s="21" t="n">
        <v>1</v>
      </c>
    </row>
    <row r="69">
      <c r="A69" s="22" t="inlineStr">
        <is>
          <t>2ndeC</t>
        </is>
      </c>
      <c r="B69" s="22" t="inlineStr">
        <is>
          <t>N-c</t>
        </is>
      </c>
      <c r="C69" s="22" t="inlineStr">
        <is>
          <t>N.RAC</t>
        </is>
      </c>
      <c r="D69" s="23" t="n">
        <v>2</v>
      </c>
      <c r="E69" s="23" t="n">
        <v>1</v>
      </c>
      <c r="F69" s="23" t="n">
        <v>3</v>
      </c>
    </row>
    <row r="70">
      <c r="A70" s="20" t="inlineStr">
        <is>
          <t>2ndeC</t>
        </is>
      </c>
      <c r="B70" s="20" t="inlineStr">
        <is>
          <t>N-d</t>
        </is>
      </c>
      <c r="C70" s="20" t="inlineStr">
        <is>
          <t>N.INT</t>
        </is>
      </c>
      <c r="D70" s="21" t="n">
        <v>1</v>
      </c>
      <c r="E70" s="21" t="n">
        <v>1</v>
      </c>
      <c r="F70" s="21" t="n">
        <v>2</v>
      </c>
    </row>
    <row r="71">
      <c r="A71" s="22" t="inlineStr">
        <is>
          <t>2ndeC</t>
        </is>
      </c>
      <c r="B71" s="22" t="inlineStr">
        <is>
          <t>L-a</t>
        </is>
      </c>
      <c r="C71" s="22" t="inlineStr">
        <is>
          <t>L.DEV1 ; L.IDR</t>
        </is>
      </c>
      <c r="D71" s="23" t="n">
        <v>2</v>
      </c>
      <c r="E71" s="23" t="n">
        <v>1</v>
      </c>
      <c r="F71" s="23" t="n">
        <v>3</v>
      </c>
    </row>
    <row r="72">
      <c r="A72" s="20" t="inlineStr">
        <is>
          <t>2ndeC</t>
        </is>
      </c>
      <c r="B72" s="20" t="inlineStr">
        <is>
          <t>L-b</t>
        </is>
      </c>
      <c r="C72" s="20" t="inlineStr">
        <is>
          <t>L.FAC1 ; L.FAC2</t>
        </is>
      </c>
      <c r="D72" s="21" t="n">
        <v>1</v>
      </c>
      <c r="E72" s="21" t="n">
        <v>1</v>
      </c>
      <c r="F72" s="21" t="n">
        <v>2</v>
      </c>
    </row>
    <row r="73">
      <c r="A73" s="22" t="inlineStr">
        <is>
          <t>2ndeC</t>
        </is>
      </c>
      <c r="B73" s="22" t="inlineStr">
        <is>
          <t>L-c</t>
        </is>
      </c>
      <c r="C73" s="22" t="inlineStr">
        <is>
          <t>L.EQ1 ; L.EQP</t>
        </is>
      </c>
      <c r="D73" s="23" t="n">
        <v>2</v>
      </c>
      <c r="E73" s="23" t="n">
        <v>1</v>
      </c>
      <c r="F73" s="23" t="n">
        <v>3</v>
      </c>
    </row>
    <row r="74">
      <c r="A74" s="20" t="inlineStr">
        <is>
          <t>2ndeC</t>
        </is>
      </c>
      <c r="B74" s="20" t="inlineStr">
        <is>
          <t>L-d</t>
        </is>
      </c>
      <c r="C74" s="20" t="inlineStr">
        <is>
          <t>L.INEQ1</t>
        </is>
      </c>
      <c r="D74" s="21" t="n">
        <v>1</v>
      </c>
      <c r="E74" s="21" t="n">
        <v>1</v>
      </c>
      <c r="F74" s="21" t="n">
        <v>2</v>
      </c>
    </row>
    <row r="75">
      <c r="A75" s="22" t="inlineStr">
        <is>
          <t>2ndeC</t>
        </is>
      </c>
      <c r="B75" s="22" t="inlineStr">
        <is>
          <t>L-e</t>
        </is>
      </c>
      <c r="C75" s="22" t="inlineStr">
        <is>
          <t>L.SYS</t>
        </is>
      </c>
      <c r="D75" s="23" t="n">
        <v>1</v>
      </c>
      <c r="E75" s="23" t="n">
        <v>1</v>
      </c>
      <c r="F75" s="23" t="n">
        <v>2</v>
      </c>
    </row>
    <row r="76">
      <c r="A76" s="20" t="inlineStr">
        <is>
          <t>2ndeC</t>
        </is>
      </c>
      <c r="B76" s="20" t="inlineStr">
        <is>
          <t>G-a</t>
        </is>
      </c>
      <c r="C76" s="20" t="inlineStr">
        <is>
          <t>G.VEC ; G.COL</t>
        </is>
      </c>
      <c r="D76" s="21" t="n">
        <v>2</v>
      </c>
      <c r="E76" s="21" t="n">
        <v>1</v>
      </c>
      <c r="F76" s="21" t="n">
        <v>3</v>
      </c>
    </row>
    <row r="77">
      <c r="A77" s="22" t="inlineStr">
        <is>
          <t>2ndeC</t>
        </is>
      </c>
      <c r="B77" s="22" t="inlineStr">
        <is>
          <t>G-b</t>
        </is>
      </c>
      <c r="C77" s="22" t="inlineStr">
        <is>
          <t>G.RON</t>
        </is>
      </c>
      <c r="D77" s="23" t="n">
        <v>1</v>
      </c>
      <c r="E77" s="23" t="n">
        <v>1</v>
      </c>
      <c r="F77" s="23" t="n">
        <v>2</v>
      </c>
    </row>
    <row r="78">
      <c r="A78" s="20" t="inlineStr">
        <is>
          <t>2ndeC</t>
        </is>
      </c>
      <c r="B78" s="20" t="inlineStr">
        <is>
          <t>G-c</t>
        </is>
      </c>
      <c r="C78" s="20" t="inlineStr">
        <is>
          <t>G.PYT</t>
        </is>
      </c>
      <c r="D78" s="21" t="n">
        <v>1</v>
      </c>
      <c r="E78" s="21" t="n">
        <v>1</v>
      </c>
      <c r="F78" s="21" t="n">
        <v>2</v>
      </c>
    </row>
    <row r="79">
      <c r="A79" s="22" t="inlineStr">
        <is>
          <t>2ndeC</t>
        </is>
      </c>
      <c r="B79" s="22" t="inlineStr">
        <is>
          <t>G-d</t>
        </is>
      </c>
      <c r="C79" s="22" t="inlineStr">
        <is>
          <t>G.THA</t>
        </is>
      </c>
      <c r="D79" s="23" t="n">
        <v>1</v>
      </c>
      <c r="E79" s="23" t="n">
        <v>1</v>
      </c>
      <c r="F79" s="23" t="n">
        <v>2</v>
      </c>
    </row>
    <row r="80">
      <c r="A80" s="20" t="inlineStr">
        <is>
          <t>2ndeC</t>
        </is>
      </c>
      <c r="B80" s="20" t="inlineStr">
        <is>
          <t>G-e</t>
        </is>
      </c>
      <c r="C80" s="20" t="inlineStr">
        <is>
          <t>T.TRIR</t>
        </is>
      </c>
      <c r="D80" s="21" t="n">
        <v>1</v>
      </c>
      <c r="E80" s="21" t="n">
        <v>1</v>
      </c>
      <c r="F80" s="21" t="n">
        <v>2</v>
      </c>
    </row>
    <row r="81">
      <c r="A81" s="22" t="inlineStr">
        <is>
          <t>2ndeC</t>
        </is>
      </c>
      <c r="B81" s="22" t="inlineStr">
        <is>
          <t>F-a</t>
        </is>
      </c>
      <c r="C81" s="22" t="inlineStr">
        <is>
          <t>F.LIN</t>
        </is>
      </c>
      <c r="D81" s="23" t="n">
        <v>1</v>
      </c>
      <c r="E81" s="23" t="n">
        <v>1</v>
      </c>
      <c r="F81" s="23" t="n">
        <v>2</v>
      </c>
    </row>
    <row r="82">
      <c r="A82" s="20" t="inlineStr">
        <is>
          <t>2ndeC</t>
        </is>
      </c>
      <c r="B82" s="20" t="inlineStr">
        <is>
          <t>D-a</t>
        </is>
      </c>
      <c r="C82" s="20" t="inlineStr">
        <is>
          <t>D.STAT1</t>
        </is>
      </c>
      <c r="D82" s="21" t="n">
        <v>1</v>
      </c>
      <c r="E82" s="21" t="n">
        <v>1</v>
      </c>
      <c r="F82" s="21" t="n">
        <v>2</v>
      </c>
    </row>
    <row r="83">
      <c r="A83" s="22" t="inlineStr">
        <is>
          <t>1ereD</t>
        </is>
      </c>
      <c r="B83" s="22" t="inlineStr">
        <is>
          <t>N-a</t>
        </is>
      </c>
      <c r="C83" s="22" t="inlineStr">
        <is>
          <t>N.RAC ; N.PUI ; N.VAB</t>
        </is>
      </c>
      <c r="D83" s="23" t="n">
        <v>1</v>
      </c>
      <c r="E83" s="23" t="n">
        <v>1</v>
      </c>
      <c r="F83" s="23" t="n">
        <v>2</v>
      </c>
    </row>
    <row r="84">
      <c r="A84" s="20" t="inlineStr">
        <is>
          <t>1ereD</t>
        </is>
      </c>
      <c r="B84" s="20" t="inlineStr">
        <is>
          <t>N-b</t>
        </is>
      </c>
      <c r="C84" s="20" t="inlineStr">
        <is>
          <t>N.INT ; N.MAJ</t>
        </is>
      </c>
      <c r="D84" s="21" t="n">
        <v>1</v>
      </c>
      <c r="E84" s="21" t="n">
        <v>1</v>
      </c>
      <c r="F84" s="21" t="n">
        <v>2</v>
      </c>
    </row>
    <row r="85">
      <c r="A85" s="22" t="inlineStr">
        <is>
          <t>1ereD</t>
        </is>
      </c>
      <c r="B85" s="22" t="inlineStr">
        <is>
          <t>L-a</t>
        </is>
      </c>
      <c r="C85" s="22" t="inlineStr">
        <is>
          <t>L.EQ2</t>
        </is>
      </c>
      <c r="D85" s="23" t="n">
        <v>1</v>
      </c>
      <c r="E85" s="23" t="n">
        <v>1</v>
      </c>
      <c r="F85" s="23" t="n">
        <v>2</v>
      </c>
    </row>
    <row r="86">
      <c r="A86" s="20" t="inlineStr">
        <is>
          <t>1ereD</t>
        </is>
      </c>
      <c r="B86" s="20" t="inlineStr">
        <is>
          <t>L-b</t>
        </is>
      </c>
      <c r="C86" s="20" t="inlineStr">
        <is>
          <t>L.TRI</t>
        </is>
      </c>
      <c r="D86" s="21" t="n">
        <v>1</v>
      </c>
      <c r="E86" s="21" t="n">
        <v>1</v>
      </c>
      <c r="F86" s="21" t="n">
        <v>2</v>
      </c>
    </row>
    <row r="87">
      <c r="A87" s="22" t="inlineStr">
        <is>
          <t>1ereD</t>
        </is>
      </c>
      <c r="B87" s="22" t="inlineStr">
        <is>
          <t>L-c</t>
        </is>
      </c>
      <c r="C87" s="22" t="inlineStr">
        <is>
          <t>L.INEQ2</t>
        </is>
      </c>
      <c r="D87" s="23" t="n">
        <v>1</v>
      </c>
      <c r="E87" s="23" t="n">
        <v>1</v>
      </c>
      <c r="F87" s="23" t="n">
        <v>2</v>
      </c>
    </row>
    <row r="88">
      <c r="A88" s="20" t="inlineStr">
        <is>
          <t>1ereD</t>
        </is>
      </c>
      <c r="B88" s="20" t="inlineStr">
        <is>
          <t>L-d</t>
        </is>
      </c>
      <c r="C88" s="20" t="inlineStr">
        <is>
          <t>L.SYSL</t>
        </is>
      </c>
      <c r="D88" s="21" t="n">
        <v>1</v>
      </c>
      <c r="E88" s="21" t="n">
        <v>1</v>
      </c>
      <c r="F88" s="21" t="n">
        <v>2</v>
      </c>
    </row>
    <row r="89">
      <c r="A89" s="22" t="inlineStr">
        <is>
          <t>1ereD</t>
        </is>
      </c>
      <c r="B89" s="22" t="inlineStr">
        <is>
          <t>F-a</t>
        </is>
      </c>
      <c r="C89" s="22" t="inlineStr">
        <is>
          <t>F.DEF</t>
        </is>
      </c>
      <c r="D89" s="23" t="n">
        <v>1</v>
      </c>
      <c r="E89" s="23" t="n">
        <v>1</v>
      </c>
      <c r="F89" s="23" t="n">
        <v>2</v>
      </c>
    </row>
    <row r="90">
      <c r="A90" s="20" t="inlineStr">
        <is>
          <t>1ereD</t>
        </is>
      </c>
      <c r="B90" s="20" t="inlineStr">
        <is>
          <t>F-b</t>
        </is>
      </c>
      <c r="C90" s="20" t="inlineStr">
        <is>
          <t>F.PAR</t>
        </is>
      </c>
      <c r="D90" s="21" t="n">
        <v>1</v>
      </c>
      <c r="E90" s="21" t="n">
        <v>1</v>
      </c>
      <c r="F90" s="21" t="n">
        <v>2</v>
      </c>
    </row>
    <row r="91">
      <c r="A91" s="22" t="inlineStr">
        <is>
          <t>1ereD</t>
        </is>
      </c>
      <c r="B91" s="22" t="inlineStr">
        <is>
          <t>F-c</t>
        </is>
      </c>
      <c r="C91" s="22" t="inlineStr">
        <is>
          <t>F.GRA</t>
        </is>
      </c>
      <c r="D91" s="23" t="n">
        <v>1</v>
      </c>
      <c r="E91" s="23" t="n">
        <v>1</v>
      </c>
      <c r="F91" s="23" t="n">
        <v>2</v>
      </c>
    </row>
    <row r="92">
      <c r="A92" s="20" t="inlineStr">
        <is>
          <t>1ereD</t>
        </is>
      </c>
      <c r="B92" s="20" t="inlineStr">
        <is>
          <t>F-d</t>
        </is>
      </c>
      <c r="C92" s="20" t="inlineStr">
        <is>
          <t>F.REF</t>
        </is>
      </c>
      <c r="D92" s="21" t="n">
        <v>2</v>
      </c>
      <c r="E92" s="21" t="n">
        <v>0</v>
      </c>
      <c r="F92" s="21" t="n">
        <v>2</v>
      </c>
    </row>
    <row r="93">
      <c r="A93" s="22" t="inlineStr">
        <is>
          <t>1ereD</t>
        </is>
      </c>
      <c r="B93" s="22" t="inlineStr">
        <is>
          <t>F-e</t>
        </is>
      </c>
      <c r="C93" s="22" t="inlineStr">
        <is>
          <t>F.CIRC</t>
        </is>
      </c>
      <c r="D93" s="23" t="n">
        <v>1</v>
      </c>
      <c r="E93" s="23" t="n">
        <v>1</v>
      </c>
      <c r="F93" s="23" t="n">
        <v>2</v>
      </c>
    </row>
    <row r="94">
      <c r="A94" s="20" t="inlineStr">
        <is>
          <t>1ereD</t>
        </is>
      </c>
      <c r="B94" s="20" t="inlineStr">
        <is>
          <t>G-a</t>
        </is>
      </c>
      <c r="C94" s="20" t="inlineStr">
        <is>
          <t>G.COL</t>
        </is>
      </c>
      <c r="D94" s="21" t="n">
        <v>1</v>
      </c>
      <c r="E94" s="21" t="n">
        <v>1</v>
      </c>
      <c r="F94" s="21" t="n">
        <v>2</v>
      </c>
    </row>
    <row r="95">
      <c r="A95" s="22" t="inlineStr">
        <is>
          <t>1ereD</t>
        </is>
      </c>
      <c r="B95" s="22" t="inlineStr">
        <is>
          <t>G-b</t>
        </is>
      </c>
      <c r="C95" s="22" t="inlineStr">
        <is>
          <t>G.PS</t>
        </is>
      </c>
      <c r="D95" s="23" t="n">
        <v>1</v>
      </c>
      <c r="E95" s="23" t="n">
        <v>1</v>
      </c>
      <c r="F95" s="23" t="n">
        <v>2</v>
      </c>
    </row>
    <row r="96">
      <c r="A96" s="20" t="inlineStr">
        <is>
          <t>1ereD</t>
        </is>
      </c>
      <c r="B96" s="20" t="inlineStr">
        <is>
          <t>G-c</t>
        </is>
      </c>
      <c r="C96" s="20" t="inlineStr">
        <is>
          <t>G.PLAN</t>
        </is>
      </c>
      <c r="D96" s="21" t="n">
        <v>1</v>
      </c>
      <c r="E96" s="21" t="n">
        <v>1</v>
      </c>
      <c r="F96" s="21" t="n">
        <v>2</v>
      </c>
    </row>
    <row r="97">
      <c r="A97" s="22" t="inlineStr">
        <is>
          <t>1ereD</t>
        </is>
      </c>
      <c r="B97" s="22" t="inlineStr">
        <is>
          <t>G-d</t>
        </is>
      </c>
      <c r="C97" s="22" t="inlineStr">
        <is>
          <t>G.HOM</t>
        </is>
      </c>
      <c r="D97" s="23" t="n">
        <v>2</v>
      </c>
      <c r="E97" s="23" t="n">
        <v>0</v>
      </c>
      <c r="F97" s="23" t="n">
        <v>2</v>
      </c>
    </row>
    <row r="98">
      <c r="A98" s="20" t="inlineStr">
        <is>
          <t>1ereD</t>
        </is>
      </c>
      <c r="B98" s="20" t="inlineStr">
        <is>
          <t>G-e</t>
        </is>
      </c>
      <c r="C98" s="20" t="inlineStr">
        <is>
          <t>G.ESP</t>
        </is>
      </c>
      <c r="D98" s="21" t="n">
        <v>2</v>
      </c>
      <c r="E98" s="21" t="n">
        <v>0</v>
      </c>
      <c r="F98" s="21" t="n">
        <v>2</v>
      </c>
    </row>
    <row r="99">
      <c r="A99" s="22" t="inlineStr">
        <is>
          <t>1ereD</t>
        </is>
      </c>
      <c r="B99" s="22" t="inlineStr">
        <is>
          <t>D-a</t>
        </is>
      </c>
      <c r="C99" s="22" t="inlineStr">
        <is>
          <t>D.STAT2</t>
        </is>
      </c>
      <c r="D99" s="23" t="n">
        <v>1</v>
      </c>
      <c r="E99" s="23" t="n">
        <v>1</v>
      </c>
      <c r="F99" s="23" t="n">
        <v>2</v>
      </c>
    </row>
    <row r="100">
      <c r="A100" s="20" t="inlineStr">
        <is>
          <t>tleD</t>
        </is>
      </c>
      <c r="B100" s="20" t="inlineStr">
        <is>
          <t>N-a</t>
        </is>
      </c>
      <c r="C100" s="20" t="inlineStr">
        <is>
          <t>N.RAC ; N.PUI ; N.VAB</t>
        </is>
      </c>
      <c r="D100" s="21" t="n">
        <v>1</v>
      </c>
      <c r="E100" s="21" t="n">
        <v>0</v>
      </c>
      <c r="F100" s="21" t="n">
        <v>1</v>
      </c>
    </row>
    <row r="101">
      <c r="A101" s="22" t="inlineStr">
        <is>
          <t>tleD</t>
        </is>
      </c>
      <c r="B101" s="22" t="inlineStr">
        <is>
          <t>L-a</t>
        </is>
      </c>
      <c r="C101" s="22" t="inlineStr">
        <is>
          <t>L.POLY</t>
        </is>
      </c>
      <c r="D101" s="23" t="n">
        <v>1</v>
      </c>
      <c r="E101" s="23" t="n">
        <v>1</v>
      </c>
      <c r="F101" s="23" t="n">
        <v>2</v>
      </c>
    </row>
    <row r="102">
      <c r="A102" s="20" t="inlineStr">
        <is>
          <t>tleD</t>
        </is>
      </c>
      <c r="B102" s="20" t="inlineStr">
        <is>
          <t>L-b</t>
        </is>
      </c>
      <c r="C102" s="20" t="inlineStr">
        <is>
          <t>L.RATF</t>
        </is>
      </c>
      <c r="D102" s="21" t="n">
        <v>1</v>
      </c>
      <c r="E102" s="21" t="n">
        <v>1</v>
      </c>
      <c r="F102" s="21" t="n">
        <v>2</v>
      </c>
    </row>
    <row r="103">
      <c r="A103" s="22" t="inlineStr">
        <is>
          <t>tleD</t>
        </is>
      </c>
      <c r="B103" s="22" t="inlineStr">
        <is>
          <t>L-c</t>
        </is>
      </c>
      <c r="C103" s="22" t="inlineStr">
        <is>
          <t>L.EQ2 ; L.INEQ2</t>
        </is>
      </c>
      <c r="D103" s="23" t="n">
        <v>1</v>
      </c>
      <c r="E103" s="23" t="n">
        <v>1</v>
      </c>
      <c r="F103" s="23" t="n">
        <v>2</v>
      </c>
    </row>
    <row r="104">
      <c r="A104" s="20" t="inlineStr">
        <is>
          <t>tleD</t>
        </is>
      </c>
      <c r="B104" s="20" t="inlineStr">
        <is>
          <t>F-a</t>
        </is>
      </c>
      <c r="C104" s="20" t="inlineStr">
        <is>
          <t>F.DEF ; F.PAR</t>
        </is>
      </c>
      <c r="D104" s="21" t="n">
        <v>1</v>
      </c>
      <c r="E104" s="21" t="n">
        <v>1</v>
      </c>
      <c r="F104" s="21" t="n">
        <v>2</v>
      </c>
    </row>
    <row r="105">
      <c r="A105" s="22" t="inlineStr">
        <is>
          <t>tleD</t>
        </is>
      </c>
      <c r="B105" s="22" t="inlineStr">
        <is>
          <t>F-b</t>
        </is>
      </c>
      <c r="C105" s="22" t="inlineStr">
        <is>
          <t>F.LIM</t>
        </is>
      </c>
      <c r="D105" s="23" t="n">
        <v>1</v>
      </c>
      <c r="E105" s="23" t="n">
        <v>1</v>
      </c>
      <c r="F105" s="23" t="n">
        <v>2</v>
      </c>
    </row>
    <row r="106">
      <c r="A106" s="20" t="inlineStr">
        <is>
          <t>tleD</t>
        </is>
      </c>
      <c r="B106" s="20" t="inlineStr">
        <is>
          <t>F-c</t>
        </is>
      </c>
      <c r="C106" s="20" t="inlineStr">
        <is>
          <t>F.ASY</t>
        </is>
      </c>
      <c r="D106" s="21" t="n">
        <v>1</v>
      </c>
      <c r="E106" s="21" t="n">
        <v>1</v>
      </c>
      <c r="F106" s="21" t="n">
        <v>2</v>
      </c>
    </row>
    <row r="107">
      <c r="A107" s="22" t="inlineStr">
        <is>
          <t>tleD</t>
        </is>
      </c>
      <c r="B107" s="22" t="inlineStr">
        <is>
          <t>F-d</t>
        </is>
      </c>
      <c r="C107" s="22" t="inlineStr">
        <is>
          <t>F.DER</t>
        </is>
      </c>
      <c r="D107" s="23" t="n">
        <v>2</v>
      </c>
      <c r="E107" s="23" t="n">
        <v>1</v>
      </c>
      <c r="F107" s="23" t="n">
        <v>3</v>
      </c>
    </row>
    <row r="108">
      <c r="A108" s="20" t="inlineStr">
        <is>
          <t>tleD</t>
        </is>
      </c>
      <c r="B108" s="20" t="inlineStr">
        <is>
          <t>F-e</t>
        </is>
      </c>
      <c r="C108" s="20" t="inlineStr">
        <is>
          <t>F.TAN</t>
        </is>
      </c>
      <c r="D108" s="21" t="n">
        <v>1</v>
      </c>
      <c r="E108" s="21" t="n">
        <v>1</v>
      </c>
      <c r="F108" s="21" t="n">
        <v>2</v>
      </c>
    </row>
    <row r="109">
      <c r="A109" s="22" t="inlineStr">
        <is>
          <t>tleD</t>
        </is>
      </c>
      <c r="B109" s="22" t="inlineStr">
        <is>
          <t>F-f</t>
        </is>
      </c>
      <c r="C109" s="22" t="inlineStr">
        <is>
          <t>F.VAR</t>
        </is>
      </c>
      <c r="D109" s="23" t="n">
        <v>1</v>
      </c>
      <c r="E109" s="23" t="n">
        <v>1</v>
      </c>
      <c r="F109" s="23" t="n">
        <v>2</v>
      </c>
    </row>
    <row r="110">
      <c r="A110" s="20" t="inlineStr">
        <is>
          <t>tleD</t>
        </is>
      </c>
      <c r="B110" s="20" t="inlineStr">
        <is>
          <t>F-g</t>
        </is>
      </c>
      <c r="C110" s="20" t="inlineStr">
        <is>
          <t>F.GRA</t>
        </is>
      </c>
      <c r="D110" s="21" t="n">
        <v>1</v>
      </c>
      <c r="E110" s="21" t="n">
        <v>0</v>
      </c>
      <c r="F110" s="21" t="n">
        <v>1</v>
      </c>
    </row>
    <row r="111">
      <c r="A111" s="22" t="inlineStr">
        <is>
          <t>tleD</t>
        </is>
      </c>
      <c r="B111" s="22" t="inlineStr">
        <is>
          <t>S-a</t>
        </is>
      </c>
      <c r="C111" s="22" t="inlineStr">
        <is>
          <t>S.SUI</t>
        </is>
      </c>
      <c r="D111" s="23" t="n">
        <v>2</v>
      </c>
      <c r="E111" s="23" t="n">
        <v>1</v>
      </c>
      <c r="F111" s="23" t="n">
        <v>3</v>
      </c>
    </row>
    <row r="112">
      <c r="A112" s="20" t="inlineStr">
        <is>
          <t>tleD</t>
        </is>
      </c>
      <c r="B112" s="20" t="inlineStr">
        <is>
          <t>S-b</t>
        </is>
      </c>
      <c r="C112" s="20" t="inlineStr">
        <is>
          <t>S.REC</t>
        </is>
      </c>
      <c r="D112" s="21" t="n">
        <v>1</v>
      </c>
      <c r="E112" s="21" t="n">
        <v>1</v>
      </c>
      <c r="F112" s="21" t="n">
        <v>2</v>
      </c>
    </row>
    <row r="113">
      <c r="A113" s="22" t="inlineStr">
        <is>
          <t>tleD</t>
        </is>
      </c>
      <c r="B113" s="22" t="inlineStr">
        <is>
          <t>T-a</t>
        </is>
      </c>
      <c r="C113" s="22" t="inlineStr">
        <is>
          <t>T.TRIG</t>
        </is>
      </c>
      <c r="D113" s="23" t="n">
        <v>1</v>
      </c>
      <c r="E113" s="23" t="n">
        <v>1</v>
      </c>
      <c r="F113" s="23" t="n">
        <v>2</v>
      </c>
    </row>
    <row r="114">
      <c r="A114" s="20" t="inlineStr">
        <is>
          <t>tleD</t>
        </is>
      </c>
      <c r="B114" s="20" t="inlineStr">
        <is>
          <t>T-b</t>
        </is>
      </c>
      <c r="C114" s="20" t="inlineStr">
        <is>
          <t>T.EQT</t>
        </is>
      </c>
      <c r="D114" s="21" t="n">
        <v>1</v>
      </c>
      <c r="E114" s="21" t="n">
        <v>0</v>
      </c>
      <c r="F114" s="21" t="n">
        <v>1</v>
      </c>
    </row>
    <row r="115">
      <c r="A115" s="22" t="inlineStr">
        <is>
          <t>tleD</t>
        </is>
      </c>
      <c r="B115" s="22" t="inlineStr">
        <is>
          <t>D-a</t>
        </is>
      </c>
      <c r="C115" s="22" t="inlineStr">
        <is>
          <t>D.DEN</t>
        </is>
      </c>
      <c r="D115" s="23" t="n">
        <v>1</v>
      </c>
      <c r="E115" s="23" t="n">
        <v>1</v>
      </c>
      <c r="F115" s="23" t="n">
        <v>2</v>
      </c>
    </row>
    <row r="116">
      <c r="A116" s="20" t="inlineStr">
        <is>
          <t>tleD</t>
        </is>
      </c>
      <c r="B116" s="20" t="inlineStr">
        <is>
          <t>G-a</t>
        </is>
      </c>
      <c r="C116" s="20" t="inlineStr">
        <is>
          <t>G.PS</t>
        </is>
      </c>
      <c r="D116" s="21" t="n">
        <v>1</v>
      </c>
      <c r="E116" s="21" t="n">
        <v>0</v>
      </c>
      <c r="F116" s="21" t="n">
        <v>1</v>
      </c>
    </row>
    <row r="117">
      <c r="A117" s="22" t="inlineStr">
        <is>
          <t>tleD</t>
        </is>
      </c>
      <c r="B117" s="22" t="inlineStr">
        <is>
          <t>G-b</t>
        </is>
      </c>
      <c r="C117" s="22" t="inlineStr">
        <is>
          <t>G.ESP</t>
        </is>
      </c>
      <c r="D117" s="23" t="n">
        <v>1</v>
      </c>
      <c r="E117" s="23" t="n">
        <v>1</v>
      </c>
      <c r="F117" s="23" t="n">
        <v>2</v>
      </c>
    </row>
  </sheetData>
  <autoFilter ref="A1:F1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83"/>
  <sheetViews>
    <sheetView workbookViewId="0">
      <pane ySplit="1" topLeftCell="A2" activePane="bottomLeft" state="frozen"/>
      <selection pane="bottomLeft" activeCell="A1" sqref="A1"/>
    </sheetView>
  </sheetViews>
  <sheetFormatPr baseColWidth="8" defaultRowHeight="15"/>
  <cols>
    <col width="15" customWidth="1" style="10" min="1" max="1"/>
    <col width="11" customWidth="1" style="10" min="2" max="2"/>
    <col width="9" customWidth="1" style="10" min="3" max="3"/>
    <col width="9" customWidth="1" style="10" min="4" max="4"/>
    <col width="14" customWidth="1" style="10" min="5" max="5"/>
    <col width="12" customWidth="1" style="10" min="6" max="6"/>
    <col width="20" customWidth="1" style="10" min="7" max="7"/>
    <col width="20" customWidth="1" style="10" min="8" max="8"/>
    <col width="70" customWidth="1" style="10" min="9" max="9"/>
  </cols>
  <sheetData>
    <row r="1" ht="30" customHeight="1" s="10">
      <c r="A1" s="19" t="inlineStr">
        <is>
          <t>Niveau du test</t>
        </is>
      </c>
      <c r="B1" s="19" t="inlineStr">
        <is>
          <t>Code question</t>
        </is>
      </c>
      <c r="C1" s="19" t="inlineStr">
        <is>
          <t>Partie</t>
        </is>
      </c>
      <c r="D1" s="19" t="inlineStr">
        <is>
          <t>Barème</t>
        </is>
      </c>
      <c r="E1" s="19" t="inlineStr">
        <is>
          <t>Format</t>
        </is>
      </c>
      <c r="F1" s="19" t="inlineStr">
        <is>
          <t>Code local</t>
        </is>
      </c>
      <c r="G1" s="19" t="inlineStr">
        <is>
          <t>Compétence principale</t>
        </is>
      </c>
      <c r="H1" s="19" t="inlineStr">
        <is>
          <t>Compétence secondaire</t>
        </is>
      </c>
      <c r="I1" s="19" t="inlineStr">
        <is>
          <t>Objet de la question</t>
        </is>
      </c>
    </row>
    <row r="2">
      <c r="A2" s="20" t="inlineStr">
        <is>
          <t>6eme</t>
        </is>
      </c>
      <c r="B2" s="21" t="inlineStr">
        <is>
          <t>N1</t>
        </is>
      </c>
      <c r="C2" s="21" t="inlineStr">
        <is>
          <t>A</t>
        </is>
      </c>
      <c r="D2" s="21" t="n">
        <v>1</v>
      </c>
      <c r="E2" s="20" t="inlineStr">
        <is>
          <t>court</t>
        </is>
      </c>
      <c r="F2" s="20" t="inlineStr">
        <is>
          <t>N-b</t>
        </is>
      </c>
      <c r="G2" s="20" t="inlineStr">
        <is>
          <t>N.CMP</t>
        </is>
      </c>
      <c r="H2" s="20" t="n"/>
      <c r="I2" s="20" t="inlineStr">
        <is>
          <t>Ranger dans l'ordre décroissant 9,08 ; 9,8 ; 9,081 ; 9,1</t>
        </is>
      </c>
    </row>
    <row r="3">
      <c r="A3" s="22" t="inlineStr">
        <is>
          <t>6eme</t>
        </is>
      </c>
      <c r="B3" s="23" t="inlineStr">
        <is>
          <t>N2</t>
        </is>
      </c>
      <c r="C3" s="23" t="inlineStr">
        <is>
          <t>A</t>
        </is>
      </c>
      <c r="D3" s="23" t="n">
        <v>1</v>
      </c>
      <c r="E3" s="22" t="inlineStr">
        <is>
          <t>qcm</t>
        </is>
      </c>
      <c r="F3" s="22" t="inlineStr">
        <is>
          <t>N-a</t>
        </is>
      </c>
      <c r="G3" s="22" t="inlineStr">
        <is>
          <t>N.NUM</t>
        </is>
      </c>
      <c r="H3" s="22" t="n"/>
      <c r="I3" s="22" t="inlineStr">
        <is>
          <t>Choisir l'écriture du nombre qui vaut 5 centaines et 9 centièmes</t>
        </is>
      </c>
    </row>
    <row r="4">
      <c r="A4" s="20" t="inlineStr">
        <is>
          <t>6eme</t>
        </is>
      </c>
      <c r="B4" s="21" t="inlineStr">
        <is>
          <t>N3</t>
        </is>
      </c>
      <c r="C4" s="21" t="inlineStr">
        <is>
          <t>A</t>
        </is>
      </c>
      <c r="D4" s="21" t="n">
        <v>1</v>
      </c>
      <c r="E4" s="20" t="inlineStr">
        <is>
          <t>court</t>
        </is>
      </c>
      <c r="F4" s="20" t="inlineStr">
        <is>
          <t>N-c</t>
        </is>
      </c>
      <c r="G4" s="20" t="inlineStr">
        <is>
          <t>N.ADD</t>
        </is>
      </c>
      <c r="H4" s="20" t="n"/>
      <c r="I4" s="20" t="inlineStr">
        <is>
          <t>Effectuer la soustraction 14 - 6,75</t>
        </is>
      </c>
    </row>
    <row r="5">
      <c r="A5" s="22" t="inlineStr">
        <is>
          <t>6eme</t>
        </is>
      </c>
      <c r="B5" s="23" t="inlineStr">
        <is>
          <t>N4</t>
        </is>
      </c>
      <c r="C5" s="23" t="inlineStr">
        <is>
          <t>A</t>
        </is>
      </c>
      <c r="D5" s="23" t="n">
        <v>1</v>
      </c>
      <c r="E5" s="22" t="inlineStr">
        <is>
          <t>court</t>
        </is>
      </c>
      <c r="F5" s="22" t="inlineStr">
        <is>
          <t>N-d</t>
        </is>
      </c>
      <c r="G5" s="22" t="inlineStr">
        <is>
          <t>N.MUL</t>
        </is>
      </c>
      <c r="H5" s="22" t="n"/>
      <c r="I5" s="22" t="inlineStr">
        <is>
          <t>Effectuer le produit 4,06 × 25</t>
        </is>
      </c>
    </row>
    <row r="6">
      <c r="A6" s="20" t="inlineStr">
        <is>
          <t>6eme</t>
        </is>
      </c>
      <c r="B6" s="21" t="inlineStr">
        <is>
          <t>N5</t>
        </is>
      </c>
      <c r="C6" s="21" t="inlineStr">
        <is>
          <t>A</t>
        </is>
      </c>
      <c r="D6" s="21" t="n">
        <v>1</v>
      </c>
      <c r="E6" s="20" t="inlineStr">
        <is>
          <t>qcm</t>
        </is>
      </c>
      <c r="F6" s="20" t="inlineStr">
        <is>
          <t>N-f</t>
        </is>
      </c>
      <c r="G6" s="20" t="inlineStr">
        <is>
          <t>N.FRA1</t>
        </is>
      </c>
      <c r="H6" s="20" t="n"/>
      <c r="I6" s="20" t="inlineStr">
        <is>
          <t>Choisir la valeur des trois quarts de 60 kg</t>
        </is>
      </c>
    </row>
    <row r="7">
      <c r="A7" s="22" t="inlineStr">
        <is>
          <t>6eme</t>
        </is>
      </c>
      <c r="B7" s="23" t="inlineStr">
        <is>
          <t>N6</t>
        </is>
      </c>
      <c r="C7" s="23" t="inlineStr">
        <is>
          <t>A</t>
        </is>
      </c>
      <c r="D7" s="23" t="n">
        <v>1</v>
      </c>
      <c r="E7" s="22" t="inlineStr">
        <is>
          <t>court</t>
        </is>
      </c>
      <c r="F7" s="22" t="inlineStr">
        <is>
          <t>N-e</t>
        </is>
      </c>
      <c r="G7" s="22" t="inlineStr">
        <is>
          <t>N.DIVE</t>
        </is>
      </c>
      <c r="H7" s="22" t="n"/>
      <c r="I7" s="22" t="inlineStr">
        <is>
          <t>Effectuer la division euclidienne de 842 par 25 (quotient et reste)</t>
        </is>
      </c>
    </row>
    <row r="8">
      <c r="A8" s="20" t="inlineStr">
        <is>
          <t>6eme</t>
        </is>
      </c>
      <c r="B8" s="21" t="inlineStr">
        <is>
          <t>N7</t>
        </is>
      </c>
      <c r="C8" s="21" t="inlineStr">
        <is>
          <t>A</t>
        </is>
      </c>
      <c r="D8" s="21" t="n">
        <v>1</v>
      </c>
      <c r="E8" s="20" t="inlineStr">
        <is>
          <t>qcm</t>
        </is>
      </c>
      <c r="F8" s="20" t="inlineStr">
        <is>
          <t>N-g</t>
        </is>
      </c>
      <c r="G8" s="20" t="inlineStr">
        <is>
          <t>N.PROB</t>
        </is>
      </c>
      <c r="H8" s="20" t="n"/>
      <c r="I8" s="20" t="inlineStr">
        <is>
          <t>Choisir le calcul de la monnaie : 4 pagnes à 3 500 FCFA payés avec 20 000 FCFA (Rasmané)</t>
        </is>
      </c>
    </row>
    <row r="9">
      <c r="A9" s="22" t="inlineStr">
        <is>
          <t>6eme</t>
        </is>
      </c>
      <c r="B9" s="23" t="inlineStr">
        <is>
          <t>M1</t>
        </is>
      </c>
      <c r="C9" s="23" t="inlineStr">
        <is>
          <t>A</t>
        </is>
      </c>
      <c r="D9" s="23" t="n">
        <v>1</v>
      </c>
      <c r="E9" s="22" t="inlineStr">
        <is>
          <t>court</t>
        </is>
      </c>
      <c r="F9" s="22" t="inlineStr">
        <is>
          <t>M-a</t>
        </is>
      </c>
      <c r="G9" s="22" t="inlineStr">
        <is>
          <t>M.CONV</t>
        </is>
      </c>
      <c r="H9" s="22" t="n"/>
      <c r="I9" s="22" t="inlineStr">
        <is>
          <t>Convertir 3,07 m en centimètres</t>
        </is>
      </c>
    </row>
    <row r="10">
      <c r="A10" s="20" t="inlineStr">
        <is>
          <t>6eme</t>
        </is>
      </c>
      <c r="B10" s="21" t="inlineStr">
        <is>
          <t>M2</t>
        </is>
      </c>
      <c r="C10" s="21" t="inlineStr">
        <is>
          <t>A</t>
        </is>
      </c>
      <c r="D10" s="21" t="n">
        <v>1</v>
      </c>
      <c r="E10" s="20" t="inlineStr">
        <is>
          <t>court</t>
        </is>
      </c>
      <c r="F10" s="20" t="inlineStr">
        <is>
          <t>M-b</t>
        </is>
      </c>
      <c r="G10" s="20" t="inlineStr">
        <is>
          <t>M.PER</t>
        </is>
      </c>
      <c r="H10" s="20" t="inlineStr">
        <is>
          <t>N.ADD</t>
        </is>
      </c>
      <c r="I10" s="20" t="inlineStr">
        <is>
          <t>Calculer le périmètre d'un triangle de côtés 4,5 cm, 6 cm et 3,8 cm</t>
        </is>
      </c>
    </row>
    <row r="11">
      <c r="A11" s="22" t="inlineStr">
        <is>
          <t>6eme</t>
        </is>
      </c>
      <c r="B11" s="23" t="inlineStr">
        <is>
          <t>M3</t>
        </is>
      </c>
      <c r="C11" s="23" t="inlineStr">
        <is>
          <t>A</t>
        </is>
      </c>
      <c r="D11" s="23" t="n">
        <v>1</v>
      </c>
      <c r="E11" s="22" t="inlineStr">
        <is>
          <t>qcm</t>
        </is>
      </c>
      <c r="F11" s="22" t="inlineStr">
        <is>
          <t>M-c</t>
        </is>
      </c>
      <c r="G11" s="22" t="inlineStr">
        <is>
          <t>M.AIRE</t>
        </is>
      </c>
      <c r="H11" s="22" t="n"/>
      <c r="I11" s="22" t="inlineStr">
        <is>
          <t>Choisir l'aire d'un triangle de base 7 cm et de hauteur 4 cm (côté de 5 cm inutile)</t>
        </is>
      </c>
    </row>
    <row r="12">
      <c r="A12" s="20" t="inlineStr">
        <is>
          <t>6eme</t>
        </is>
      </c>
      <c r="B12" s="21" t="inlineStr">
        <is>
          <t>G1</t>
        </is>
      </c>
      <c r="C12" s="21" t="inlineStr">
        <is>
          <t>A</t>
        </is>
      </c>
      <c r="D12" s="21" t="n">
        <v>1</v>
      </c>
      <c r="E12" s="20" t="inlineStr">
        <is>
          <t>court</t>
        </is>
      </c>
      <c r="F12" s="20" t="inlineStr">
        <is>
          <t>G-a</t>
        </is>
      </c>
      <c r="G12" s="20" t="inlineStr">
        <is>
          <t>G.VOC</t>
        </is>
      </c>
      <c r="H12" s="20" t="n"/>
      <c r="I12" s="20" t="inlineStr">
        <is>
          <t>Calculer EF sachant que I est le milieu de [EF] et IE = 3,5 cm</t>
        </is>
      </c>
    </row>
    <row r="13">
      <c r="A13" s="22" t="inlineStr">
        <is>
          <t>6eme</t>
        </is>
      </c>
      <c r="B13" s="23" t="inlineStr">
        <is>
          <t>G2</t>
        </is>
      </c>
      <c r="C13" s="23" t="inlineStr">
        <is>
          <t>A</t>
        </is>
      </c>
      <c r="D13" s="23" t="n">
        <v>1</v>
      </c>
      <c r="E13" s="22" t="inlineStr">
        <is>
          <t>court</t>
        </is>
      </c>
      <c r="F13" s="22" t="inlineStr">
        <is>
          <t>G-b</t>
        </is>
      </c>
      <c r="G13" s="22" t="inlineStr">
        <is>
          <t>G.PARA</t>
        </is>
      </c>
      <c r="H13" s="22" t="n"/>
      <c r="I13" s="22" t="inlineStr">
        <is>
          <t>Nommer les deux côtés perpendiculaires au côté [AB] dans le carré ABCD</t>
        </is>
      </c>
    </row>
    <row r="14">
      <c r="A14" s="20" t="inlineStr">
        <is>
          <t>6eme</t>
        </is>
      </c>
      <c r="B14" s="21" t="inlineStr">
        <is>
          <t>G3</t>
        </is>
      </c>
      <c r="C14" s="21" t="inlineStr">
        <is>
          <t>A</t>
        </is>
      </c>
      <c r="D14" s="21" t="n">
        <v>1</v>
      </c>
      <c r="E14" s="20" t="inlineStr">
        <is>
          <t>qcm</t>
        </is>
      </c>
      <c r="F14" s="20" t="inlineStr">
        <is>
          <t>G-d</t>
        </is>
      </c>
      <c r="G14" s="20" t="inlineStr">
        <is>
          <t>G.ANG1</t>
        </is>
      </c>
      <c r="H14" s="20" t="n"/>
      <c r="I14" s="20" t="inlineStr">
        <is>
          <t>Choisir la mesure d'un angle obtus lu 40 et 140 au rapporteur (Kadidiatou)</t>
        </is>
      </c>
    </row>
    <row r="15">
      <c r="A15" s="22" t="inlineStr">
        <is>
          <t>6eme</t>
        </is>
      </c>
      <c r="B15" s="23" t="inlineStr">
        <is>
          <t>G4</t>
        </is>
      </c>
      <c r="C15" s="23" t="inlineStr">
        <is>
          <t>A</t>
        </is>
      </c>
      <c r="D15" s="23" t="n">
        <v>1</v>
      </c>
      <c r="E15" s="22" t="inlineStr">
        <is>
          <t>court</t>
        </is>
      </c>
      <c r="F15" s="22" t="inlineStr">
        <is>
          <t>G-c</t>
        </is>
      </c>
      <c r="G15" s="22" t="inlineStr">
        <is>
          <t>G.FIG</t>
        </is>
      </c>
      <c r="H15" s="22" t="n"/>
      <c r="I15" s="22" t="inlineStr">
        <is>
          <t>Dire lequel de P (OP = 4,5 cm) ou Q (OQ = 3 cm) est sur le cercle de centre O, rayon 3 cm</t>
        </is>
      </c>
    </row>
    <row r="16">
      <c r="A16" s="20" t="inlineStr">
        <is>
          <t>6eme</t>
        </is>
      </c>
      <c r="B16" s="21" t="inlineStr">
        <is>
          <t>D1</t>
        </is>
      </c>
      <c r="C16" s="21" t="inlineStr">
        <is>
          <t>A</t>
        </is>
      </c>
      <c r="D16" s="21" t="n">
        <v>1</v>
      </c>
      <c r="E16" s="20" t="inlineStr">
        <is>
          <t>court</t>
        </is>
      </c>
      <c r="F16" s="20" t="inlineStr">
        <is>
          <t>D-a</t>
        </is>
      </c>
      <c r="G16" s="20" t="inlineStr">
        <is>
          <t>D.PROP</t>
        </is>
      </c>
      <c r="H16" s="20" t="n"/>
      <c r="I16" s="20" t="inlineStr">
        <is>
          <t>Calculer le prix de 7 kg de riz sachant que 4 kg coûtent 2 600 FCFA</t>
        </is>
      </c>
    </row>
    <row r="17">
      <c r="A17" s="22" t="inlineStr">
        <is>
          <t>6eme</t>
        </is>
      </c>
      <c r="B17" s="23" t="inlineStr">
        <is>
          <t>D2</t>
        </is>
      </c>
      <c r="C17" s="23" t="inlineStr">
        <is>
          <t>A</t>
        </is>
      </c>
      <c r="D17" s="23" t="n">
        <v>1</v>
      </c>
      <c r="E17" s="22" t="inlineStr">
        <is>
          <t>qcm</t>
        </is>
      </c>
      <c r="F17" s="22" t="inlineStr">
        <is>
          <t>D-b</t>
        </is>
      </c>
      <c r="G17" s="22" t="inlineStr">
        <is>
          <t>D.POUR</t>
        </is>
      </c>
      <c r="H17" s="22" t="n"/>
      <c r="I17" s="22" t="inlineStr">
        <is>
          <t>Choisir le pourcentage d'élèves de CM2 : 50 sur 200 élèves (école de Manga)</t>
        </is>
      </c>
    </row>
    <row r="18">
      <c r="A18" s="20" t="inlineStr">
        <is>
          <t>6eme</t>
        </is>
      </c>
      <c r="B18" s="21" t="inlineStr">
        <is>
          <t>N8</t>
        </is>
      </c>
      <c r="C18" s="21" t="inlineStr">
        <is>
          <t>B</t>
        </is>
      </c>
      <c r="D18" s="21" t="n">
        <v>2</v>
      </c>
      <c r="E18" s="20" t="inlineStr">
        <is>
          <t>rédigé</t>
        </is>
      </c>
      <c r="F18" s="20" t="inlineStr">
        <is>
          <t>N-c</t>
        </is>
      </c>
      <c r="G18" s="20" t="inlineStr">
        <is>
          <t>N.ADD</t>
        </is>
      </c>
      <c r="H18" s="20" t="n"/>
      <c r="I18" s="20" t="inlineStr">
        <is>
          <t>Retrouver l'essence au départ : 4,25 L dans le réservoir après ajout de 1,5 L (Salif)</t>
        </is>
      </c>
    </row>
    <row r="19">
      <c r="A19" s="22" t="inlineStr">
        <is>
          <t>6eme</t>
        </is>
      </c>
      <c r="B19" s="23" t="inlineStr">
        <is>
          <t>N9</t>
        </is>
      </c>
      <c r="C19" s="23" t="inlineStr">
        <is>
          <t>B</t>
        </is>
      </c>
      <c r="D19" s="23" t="n">
        <v>2</v>
      </c>
      <c r="E19" s="22" t="inlineStr">
        <is>
          <t>rédigé</t>
        </is>
      </c>
      <c r="F19" s="22" t="inlineStr">
        <is>
          <t>N-d</t>
        </is>
      </c>
      <c r="G19" s="22" t="inlineStr">
        <is>
          <t>N.MUL</t>
        </is>
      </c>
      <c r="H19" s="22" t="inlineStr">
        <is>
          <t>N.PROB</t>
        </is>
      </c>
      <c r="I19" s="22" t="inlineStr">
        <is>
          <t>Ecrire en une ligne puis calculer le prix du double de 12 savons à 325 FCFA (Safiatou)</t>
        </is>
      </c>
    </row>
    <row r="20">
      <c r="A20" s="20" t="inlineStr">
        <is>
          <t>6eme</t>
        </is>
      </c>
      <c r="B20" s="21" t="inlineStr">
        <is>
          <t>N10</t>
        </is>
      </c>
      <c r="C20" s="21" t="inlineStr">
        <is>
          <t>B</t>
        </is>
      </c>
      <c r="D20" s="21" t="n">
        <v>2</v>
      </c>
      <c r="E20" s="20" t="inlineStr">
        <is>
          <t>rédigé</t>
        </is>
      </c>
      <c r="F20" s="20" t="inlineStr">
        <is>
          <t>N-e</t>
        </is>
      </c>
      <c r="G20" s="20" t="inlineStr">
        <is>
          <t>N.DIVE</t>
        </is>
      </c>
      <c r="H20" s="20" t="n"/>
      <c r="I20" s="20" t="inlineStr">
        <is>
          <t>Juger si 16 plateaux de 30 oeufs suffisent pour 500 oeufs (Nafissatou)</t>
        </is>
      </c>
    </row>
    <row r="21">
      <c r="A21" s="22" t="inlineStr">
        <is>
          <t>6eme</t>
        </is>
      </c>
      <c r="B21" s="23" t="inlineStr">
        <is>
          <t>N11</t>
        </is>
      </c>
      <c r="C21" s="23" t="inlineStr">
        <is>
          <t>B</t>
        </is>
      </c>
      <c r="D21" s="23" t="n">
        <v>2</v>
      </c>
      <c r="E21" s="22" t="inlineStr">
        <is>
          <t>rédigé</t>
        </is>
      </c>
      <c r="F21" s="22" t="inlineStr">
        <is>
          <t>N-f</t>
        </is>
      </c>
      <c r="G21" s="22" t="inlineStr">
        <is>
          <t>N.FRA1</t>
        </is>
      </c>
      <c r="H21" s="22" t="n"/>
      <c r="I21" s="22" t="inlineStr">
        <is>
          <t>Retrouver le grenier plein (le tiers vaut 12 sacs) et juger l'ajout de 30 sacs (Réo)</t>
        </is>
      </c>
    </row>
    <row r="22">
      <c r="A22" s="20" t="inlineStr">
        <is>
          <t>6eme</t>
        </is>
      </c>
      <c r="B22" s="21" t="inlineStr">
        <is>
          <t>N12</t>
        </is>
      </c>
      <c r="C22" s="21" t="inlineStr">
        <is>
          <t>B</t>
        </is>
      </c>
      <c r="D22" s="21" t="n">
        <v>2</v>
      </c>
      <c r="E22" s="20" t="inlineStr">
        <is>
          <t>rédigé</t>
        </is>
      </c>
      <c r="F22" s="20" t="inlineStr">
        <is>
          <t>N-g</t>
        </is>
      </c>
      <c r="G22" s="20" t="inlineStr">
        <is>
          <t>N.PROB</t>
        </is>
      </c>
      <c r="H22" s="20" t="inlineStr">
        <is>
          <t>N.DIVE</t>
        </is>
      </c>
      <c r="I22" s="20" t="inlineStr">
        <is>
          <t>Calculer le prix de vente d'un poulet pour gagner 8 000 FCFA sur 8 poulets payés 15 000 FCFA</t>
        </is>
      </c>
    </row>
    <row r="23">
      <c r="A23" s="22" t="inlineStr">
        <is>
          <t>6eme</t>
        </is>
      </c>
      <c r="B23" s="23" t="inlineStr">
        <is>
          <t>M4</t>
        </is>
      </c>
      <c r="C23" s="23" t="inlineStr">
        <is>
          <t>B</t>
        </is>
      </c>
      <c r="D23" s="23" t="n">
        <v>2</v>
      </c>
      <c r="E23" s="22" t="inlineStr">
        <is>
          <t>rédigé</t>
        </is>
      </c>
      <c r="F23" s="22" t="inlineStr">
        <is>
          <t>M-b</t>
        </is>
      </c>
      <c r="G23" s="22" t="inlineStr">
        <is>
          <t>M.PER</t>
        </is>
      </c>
      <c r="H23" s="22" t="inlineStr">
        <is>
          <t>N.DIVE</t>
        </is>
      </c>
      <c r="I23" s="22" t="inlineStr">
        <is>
          <t>Calculer la largeur d'un rectangle (périmètre 46 m, longueur 14 m) et les rouleaux de 20 m</t>
        </is>
      </c>
    </row>
    <row r="24">
      <c r="A24" s="20" t="inlineStr">
        <is>
          <t>6eme</t>
        </is>
      </c>
      <c r="B24" s="21" t="inlineStr">
        <is>
          <t>M5</t>
        </is>
      </c>
      <c r="C24" s="21" t="inlineStr">
        <is>
          <t>B</t>
        </is>
      </c>
      <c r="D24" s="21" t="n">
        <v>2</v>
      </c>
      <c r="E24" s="20" t="inlineStr">
        <is>
          <t>rédigé</t>
        </is>
      </c>
      <c r="F24" s="20" t="inlineStr">
        <is>
          <t>M-c</t>
        </is>
      </c>
      <c r="G24" s="20" t="inlineStr">
        <is>
          <t>M.AIRE</t>
        </is>
      </c>
      <c r="H24" s="20" t="n"/>
      <c r="I24" s="20" t="inlineStr">
        <is>
          <t>Juger s'il reste plus de 550 m² sur un terrain de 600 m² après un hangar carré de 8 m</t>
        </is>
      </c>
    </row>
    <row r="25">
      <c r="A25" s="22" t="inlineStr">
        <is>
          <t>6eme</t>
        </is>
      </c>
      <c r="B25" s="23" t="inlineStr">
        <is>
          <t>G5</t>
        </is>
      </c>
      <c r="C25" s="23" t="inlineStr">
        <is>
          <t>B</t>
        </is>
      </c>
      <c r="D25" s="23" t="n">
        <v>2</v>
      </c>
      <c r="E25" s="22" t="inlineStr">
        <is>
          <t>rédigé</t>
        </is>
      </c>
      <c r="F25" s="22" t="inlineStr">
        <is>
          <t>G-b</t>
        </is>
      </c>
      <c r="G25" s="22" t="inlineStr">
        <is>
          <t>G.PARA</t>
        </is>
      </c>
      <c r="H25" s="22" t="inlineStr">
        <is>
          <t>G.FIG</t>
        </is>
      </c>
      <c r="I25" s="22" t="inlineStr">
        <is>
          <t>Calculer RS dans le rectangle MNPQ (NP = 4 cm) et juger si (RS) et (MQ) sont perpendiculaires</t>
        </is>
      </c>
    </row>
    <row r="26">
      <c r="A26" s="20" t="inlineStr">
        <is>
          <t>6eme</t>
        </is>
      </c>
      <c r="B26" s="21" t="inlineStr">
        <is>
          <t>G6</t>
        </is>
      </c>
      <c r="C26" s="21" t="inlineStr">
        <is>
          <t>B</t>
        </is>
      </c>
      <c r="D26" s="21" t="n">
        <v>2</v>
      </c>
      <c r="E26" s="20" t="inlineStr">
        <is>
          <t>construction</t>
        </is>
      </c>
      <c r="F26" s="20" t="inlineStr">
        <is>
          <t>G-c</t>
        </is>
      </c>
      <c r="G26" s="20" t="inlineStr">
        <is>
          <t>G.FIG</t>
        </is>
      </c>
      <c r="H26" s="20" t="n"/>
      <c r="I26" s="20" t="inlineStr">
        <is>
          <t>Calculer le rayon d'un cercle de diamètre 7 cm puis tracer ce cercle au compas</t>
        </is>
      </c>
    </row>
    <row r="27">
      <c r="A27" s="22" t="inlineStr">
        <is>
          <t>6eme</t>
        </is>
      </c>
      <c r="B27" s="23" t="inlineStr">
        <is>
          <t>G7</t>
        </is>
      </c>
      <c r="C27" s="23" t="inlineStr">
        <is>
          <t>B</t>
        </is>
      </c>
      <c r="D27" s="23" t="n">
        <v>2</v>
      </c>
      <c r="E27" s="22" t="inlineStr">
        <is>
          <t>rédigé</t>
        </is>
      </c>
      <c r="F27" s="22" t="inlineStr">
        <is>
          <t>G-d</t>
        </is>
      </c>
      <c r="G27" s="22" t="inlineStr">
        <is>
          <t>G.ANG1</t>
        </is>
      </c>
      <c r="H27" s="22" t="n"/>
      <c r="I27" s="22" t="inlineStr">
        <is>
          <t>Calculer l'angle zOy (xOy = 130°, xOz = 40°) et juger s'il est aigu (Kadidiatou)</t>
        </is>
      </c>
    </row>
    <row r="28">
      <c r="A28" s="20" t="inlineStr">
        <is>
          <t>6eme</t>
        </is>
      </c>
      <c r="B28" s="21" t="inlineStr">
        <is>
          <t>D3</t>
        </is>
      </c>
      <c r="C28" s="21" t="inlineStr">
        <is>
          <t>B</t>
        </is>
      </c>
      <c r="D28" s="21" t="n">
        <v>2</v>
      </c>
      <c r="E28" s="20" t="inlineStr">
        <is>
          <t>rédigé</t>
        </is>
      </c>
      <c r="F28" s="20" t="inlineStr">
        <is>
          <t>D-a</t>
        </is>
      </c>
      <c r="G28" s="20" t="inlineStr">
        <is>
          <t>D.PROP</t>
        </is>
      </c>
      <c r="H28" s="20" t="inlineStr">
        <is>
          <t>N.DIVE</t>
        </is>
      </c>
      <c r="I28" s="20" t="inlineStr">
        <is>
          <t>Calculer le nombre de sacs à 8 500 FCFA payés 59 500 FCFA et juger l'affirmation « 8 sacs »</t>
        </is>
      </c>
    </row>
    <row r="29">
      <c r="A29" s="22" t="inlineStr">
        <is>
          <t>6eme</t>
        </is>
      </c>
      <c r="B29" s="23" t="inlineStr">
        <is>
          <t>P1.1</t>
        </is>
      </c>
      <c r="C29" s="23" t="inlineStr">
        <is>
          <t>C</t>
        </is>
      </c>
      <c r="D29" s="23" t="n">
        <v>2</v>
      </c>
      <c r="E29" s="22" t="inlineStr">
        <is>
          <t>rédigé</t>
        </is>
      </c>
      <c r="F29" s="22" t="inlineStr">
        <is>
          <t>G-a</t>
        </is>
      </c>
      <c r="G29" s="22" t="inlineStr">
        <is>
          <t>G.VOC</t>
        </is>
      </c>
      <c r="H29" s="22" t="inlineStr">
        <is>
          <t>N.ADD</t>
        </is>
      </c>
      <c r="I29" s="22" t="inlineStr">
        <is>
          <t>Calculer la distance Boromo-Bobo (route de 360 km, Boromo à 180 km) et dire si Boromo est le milieu</t>
        </is>
      </c>
    </row>
    <row r="30">
      <c r="A30" s="20" t="inlineStr">
        <is>
          <t>6eme</t>
        </is>
      </c>
      <c r="B30" s="21" t="inlineStr">
        <is>
          <t>P1.2</t>
        </is>
      </c>
      <c r="C30" s="21" t="inlineStr">
        <is>
          <t>C</t>
        </is>
      </c>
      <c r="D30" s="21" t="n">
        <v>2</v>
      </c>
      <c r="E30" s="20" t="inlineStr">
        <is>
          <t>rédigé</t>
        </is>
      </c>
      <c r="F30" s="20" t="inlineStr">
        <is>
          <t>M-a</t>
        </is>
      </c>
      <c r="G30" s="20" t="inlineStr">
        <is>
          <t>M.CONV</t>
        </is>
      </c>
      <c r="H30" s="20" t="n"/>
      <c r="I30" s="20" t="inlineStr">
        <is>
          <t>Calculer l'heure de départ de Boromo : départ 6 h 40, trajet 2 h 30 min, arrêt 25 min</t>
        </is>
      </c>
    </row>
    <row r="31">
      <c r="A31" s="22" t="inlineStr">
        <is>
          <t>6eme</t>
        </is>
      </c>
      <c r="B31" s="23" t="inlineStr">
        <is>
          <t>P1.3</t>
        </is>
      </c>
      <c r="C31" s="23" t="inlineStr">
        <is>
          <t>C</t>
        </is>
      </c>
      <c r="D31" s="23" t="n">
        <v>3</v>
      </c>
      <c r="E31" s="22" t="inlineStr">
        <is>
          <t>rédigé</t>
        </is>
      </c>
      <c r="F31" s="22" t="inlineStr">
        <is>
          <t>M-a</t>
        </is>
      </c>
      <c r="G31" s="22" t="inlineStr">
        <is>
          <t>M.CONV</t>
        </is>
      </c>
      <c r="H31" s="22" t="inlineStr">
        <is>
          <t>N.PROB</t>
        </is>
      </c>
      <c r="I31" s="22" t="inlineStr">
        <is>
          <t>Calculer l'arrivée (9 h 35 + 2 h 45 min) et la durée depuis 6 h 40, juger « moins de 6 h »</t>
        </is>
      </c>
    </row>
    <row r="32">
      <c r="A32" s="20" t="inlineStr">
        <is>
          <t>6eme</t>
        </is>
      </c>
      <c r="B32" s="21" t="inlineStr">
        <is>
          <t>P2.1</t>
        </is>
      </c>
      <c r="C32" s="21" t="inlineStr">
        <is>
          <t>C</t>
        </is>
      </c>
      <c r="D32" s="21" t="n">
        <v>2</v>
      </c>
      <c r="E32" s="20" t="inlineStr">
        <is>
          <t>rédigé</t>
        </is>
      </c>
      <c r="F32" s="20" t="inlineStr">
        <is>
          <t>N-a</t>
        </is>
      </c>
      <c r="G32" s="20" t="inlineStr">
        <is>
          <t>N.NUM</t>
        </is>
      </c>
      <c r="H32" s="20" t="inlineStr">
        <is>
          <t>N.ADD</t>
        </is>
      </c>
      <c r="I32" s="20" t="inlineStr">
        <is>
          <t>Calculer 3 billets de 10 000, 7 de 1 000 et 5 pièces de 100 FCFA, écrire la somme en lettres</t>
        </is>
      </c>
    </row>
    <row r="33">
      <c r="A33" s="22" t="inlineStr">
        <is>
          <t>6eme</t>
        </is>
      </c>
      <c r="B33" s="23" t="inlineStr">
        <is>
          <t>P2.2</t>
        </is>
      </c>
      <c r="C33" s="23" t="inlineStr">
        <is>
          <t>C</t>
        </is>
      </c>
      <c r="D33" s="23" t="n">
        <v>2</v>
      </c>
      <c r="E33" s="22" t="inlineStr">
        <is>
          <t>rédigé</t>
        </is>
      </c>
      <c r="F33" s="22" t="inlineStr">
        <is>
          <t>D-b</t>
        </is>
      </c>
      <c r="G33" s="22" t="inlineStr">
        <is>
          <t>D.POUR</t>
        </is>
      </c>
      <c r="H33" s="22" t="inlineStr">
        <is>
          <t>N.DIVE</t>
        </is>
      </c>
      <c r="I33" s="22" t="inlineStr">
        <is>
          <t>Calculer 20 % de 37 500 FCFA (apport de la mairie au forage de Ziniaré)</t>
        </is>
      </c>
    </row>
    <row r="34">
      <c r="A34" s="20" t="inlineStr">
        <is>
          <t>6eme</t>
        </is>
      </c>
      <c r="B34" s="21" t="inlineStr">
        <is>
          <t>P2.3</t>
        </is>
      </c>
      <c r="C34" s="21" t="inlineStr">
        <is>
          <t>C</t>
        </is>
      </c>
      <c r="D34" s="21" t="n">
        <v>3</v>
      </c>
      <c r="E34" s="20" t="inlineStr">
        <is>
          <t>rédigé</t>
        </is>
      </c>
      <c r="F34" s="20" t="inlineStr">
        <is>
          <t>N-g</t>
        </is>
      </c>
      <c r="G34" s="20" t="inlineStr">
        <is>
          <t>N.PROB</t>
        </is>
      </c>
      <c r="H34" s="20" t="inlineStr">
        <is>
          <t>N.ADD</t>
        </is>
      </c>
      <c r="I34" s="20" t="inlineStr">
        <is>
          <t>Comparer 37 500 + 7 500 FCFA au forage de 60 000 FCFA et donner la somme qui manque</t>
        </is>
      </c>
    </row>
    <row r="35">
      <c r="A35" s="22" t="inlineStr">
        <is>
          <t>6eme</t>
        </is>
      </c>
      <c r="B35" s="23" t="inlineStr">
        <is>
          <t>P3.1</t>
        </is>
      </c>
      <c r="C35" s="23" t="inlineStr">
        <is>
          <t>C</t>
        </is>
      </c>
      <c r="D35" s="23" t="n">
        <v>2</v>
      </c>
      <c r="E35" s="22" t="inlineStr">
        <is>
          <t>rédigé</t>
        </is>
      </c>
      <c r="F35" s="22" t="inlineStr">
        <is>
          <t>N-e</t>
        </is>
      </c>
      <c r="G35" s="22" t="inlineStr">
        <is>
          <t>N.DIVE</t>
        </is>
      </c>
      <c r="H35" s="22" t="inlineStr">
        <is>
          <t>M.CONV</t>
        </is>
      </c>
      <c r="I35" s="22" t="inlineStr">
        <is>
          <t>Calculer le nombre de sacs de 100 kg pour 2 400 kg de sorgho (Dori-Kaya, 180 km inutile)</t>
        </is>
      </c>
    </row>
    <row r="36">
      <c r="A36" s="20" t="inlineStr">
        <is>
          <t>6eme</t>
        </is>
      </c>
      <c r="B36" s="21" t="inlineStr">
        <is>
          <t>P3.2</t>
        </is>
      </c>
      <c r="C36" s="21" t="inlineStr">
        <is>
          <t>C</t>
        </is>
      </c>
      <c r="D36" s="21" t="n">
        <v>3</v>
      </c>
      <c r="E36" s="20" t="inlineStr">
        <is>
          <t>rédigé</t>
        </is>
      </c>
      <c r="F36" s="20" t="inlineStr">
        <is>
          <t>D-a</t>
        </is>
      </c>
      <c r="G36" s="20" t="inlineStr">
        <is>
          <t>D.PROP</t>
        </is>
      </c>
      <c r="H36" s="20" t="inlineStr">
        <is>
          <t>N.MUL</t>
        </is>
      </c>
      <c r="I36" s="20" t="inlineStr">
        <is>
          <t>Calculer le prix de 24 sacs : offre A 1 500 FCFA par sac, offre B 20 000 FCFA plus 600 FCFA par sac</t>
        </is>
      </c>
    </row>
    <row r="37">
      <c r="A37" s="22" t="inlineStr">
        <is>
          <t>6eme</t>
        </is>
      </c>
      <c r="B37" s="23" t="inlineStr">
        <is>
          <t>P3.3</t>
        </is>
      </c>
      <c r="C37" s="23" t="inlineStr">
        <is>
          <t>C</t>
        </is>
      </c>
      <c r="D37" s="23" t="n">
        <v>3</v>
      </c>
      <c r="E37" s="22" t="inlineStr">
        <is>
          <t>rédigé</t>
        </is>
      </c>
      <c r="F37" s="22" t="inlineStr">
        <is>
          <t>N-b</t>
        </is>
      </c>
      <c r="G37" s="22" t="inlineStr">
        <is>
          <t>N.CMP</t>
        </is>
      </c>
      <c r="H37" s="22" t="inlineStr">
        <is>
          <t>N.MUL</t>
        </is>
      </c>
      <c r="I37" s="22" t="inlineStr">
        <is>
          <t>Calculer les deux offres pour 10 sacs et juger si l'offre B est toujours la moins chère</t>
        </is>
      </c>
    </row>
    <row r="38">
      <c r="A38" s="20" t="inlineStr">
        <is>
          <t>5eme</t>
        </is>
      </c>
      <c r="B38" s="21" t="inlineStr">
        <is>
          <t>N1</t>
        </is>
      </c>
      <c r="C38" s="21" t="inlineStr">
        <is>
          <t>A</t>
        </is>
      </c>
      <c r="D38" s="21" t="n">
        <v>1</v>
      </c>
      <c r="E38" s="20" t="inlineStr">
        <is>
          <t>court</t>
        </is>
      </c>
      <c r="F38" s="20" t="inlineStr">
        <is>
          <t>N-a</t>
        </is>
      </c>
      <c r="G38" s="20" t="inlineStr">
        <is>
          <t>N.NUM</t>
        </is>
      </c>
      <c r="H38" s="20" t="n"/>
      <c r="I38" s="20" t="inlineStr">
        <is>
          <t>Ecrire en chiffres cinq unités et trente-quatre millièmes</t>
        </is>
      </c>
    </row>
    <row r="39">
      <c r="A39" s="22" t="inlineStr">
        <is>
          <t>5eme</t>
        </is>
      </c>
      <c r="B39" s="23" t="inlineStr">
        <is>
          <t>N2</t>
        </is>
      </c>
      <c r="C39" s="23" t="inlineStr">
        <is>
          <t>A</t>
        </is>
      </c>
      <c r="D39" s="23" t="n">
        <v>1</v>
      </c>
      <c r="E39" s="22" t="inlineStr">
        <is>
          <t>court</t>
        </is>
      </c>
      <c r="F39" s="22" t="inlineStr">
        <is>
          <t>N-b</t>
        </is>
      </c>
      <c r="G39" s="22" t="inlineStr">
        <is>
          <t>N.PRIO</t>
        </is>
      </c>
      <c r="H39" s="22" t="n"/>
      <c r="I39" s="22" t="inlineStr">
        <is>
          <t>Calculer 30 - 4 × (7 - 5)</t>
        </is>
      </c>
    </row>
    <row r="40">
      <c r="A40" s="20" t="inlineStr">
        <is>
          <t>5eme</t>
        </is>
      </c>
      <c r="B40" s="21" t="inlineStr">
        <is>
          <t>N3</t>
        </is>
      </c>
      <c r="C40" s="21" t="inlineStr">
        <is>
          <t>A</t>
        </is>
      </c>
      <c r="D40" s="21" t="n">
        <v>1</v>
      </c>
      <c r="E40" s="20" t="inlineStr">
        <is>
          <t>court</t>
        </is>
      </c>
      <c r="F40" s="20" t="inlineStr">
        <is>
          <t>N-e</t>
        </is>
      </c>
      <c r="G40" s="20" t="inlineStr">
        <is>
          <t>N.REL</t>
        </is>
      </c>
      <c r="H40" s="20" t="n"/>
      <c r="I40" s="20" t="inlineStr">
        <is>
          <t>Ranger dans l'ordre croissant -9 ; +2 ; -3 ; -1</t>
        </is>
      </c>
    </row>
    <row r="41">
      <c r="A41" s="22" t="inlineStr">
        <is>
          <t>5eme</t>
        </is>
      </c>
      <c r="B41" s="23" t="inlineStr">
        <is>
          <t>N4</t>
        </is>
      </c>
      <c r="C41" s="23" t="inlineStr">
        <is>
          <t>A</t>
        </is>
      </c>
      <c r="D41" s="23" t="n">
        <v>1</v>
      </c>
      <c r="E41" s="22" t="inlineStr">
        <is>
          <t>court</t>
        </is>
      </c>
      <c r="F41" s="22" t="inlineStr">
        <is>
          <t>N-c</t>
        </is>
      </c>
      <c r="G41" s="22" t="inlineStr">
        <is>
          <t>N.AST</t>
        </is>
      </c>
      <c r="H41" s="22" t="n"/>
      <c r="I41" s="22" t="inlineStr">
        <is>
          <t>Calculer astucieusement 17 × 99</t>
        </is>
      </c>
    </row>
    <row r="42">
      <c r="A42" s="20" t="inlineStr">
        <is>
          <t>5eme</t>
        </is>
      </c>
      <c r="B42" s="21" t="inlineStr">
        <is>
          <t>N5</t>
        </is>
      </c>
      <c r="C42" s="21" t="inlineStr">
        <is>
          <t>A</t>
        </is>
      </c>
      <c r="D42" s="21" t="n">
        <v>1</v>
      </c>
      <c r="E42" s="20" t="inlineStr">
        <is>
          <t>court</t>
        </is>
      </c>
      <c r="F42" s="20" t="inlineStr">
        <is>
          <t>N-f</t>
        </is>
      </c>
      <c r="G42" s="20" t="inlineStr">
        <is>
          <t>N.EGT</t>
        </is>
      </c>
      <c r="H42" s="20" t="n"/>
      <c r="I42" s="20" t="inlineStr">
        <is>
          <t>Compléter l'égalité ... ÷ 6 = 13</t>
        </is>
      </c>
    </row>
    <row r="43">
      <c r="A43" s="22" t="inlineStr">
        <is>
          <t>5eme</t>
        </is>
      </c>
      <c r="B43" s="23" t="inlineStr">
        <is>
          <t>N6</t>
        </is>
      </c>
      <c r="C43" s="23" t="inlineStr">
        <is>
          <t>A</t>
        </is>
      </c>
      <c r="D43" s="23" t="n">
        <v>1</v>
      </c>
      <c r="E43" s="22" t="inlineStr">
        <is>
          <t>qcm</t>
        </is>
      </c>
      <c r="F43" s="22" t="inlineStr">
        <is>
          <t>N-d</t>
        </is>
      </c>
      <c r="G43" s="22" t="inlineStr">
        <is>
          <t>N.FRA1</t>
        </is>
      </c>
      <c r="H43" s="22" t="n"/>
      <c r="I43" s="22" t="inlineStr">
        <is>
          <t>Choisir la forme irréductible de la fraction 36/48 (QCM)</t>
        </is>
      </c>
    </row>
    <row r="44">
      <c r="A44" s="20" t="inlineStr">
        <is>
          <t>5eme</t>
        </is>
      </c>
      <c r="B44" s="21" t="inlineStr">
        <is>
          <t>M1</t>
        </is>
      </c>
      <c r="C44" s="21" t="inlineStr">
        <is>
          <t>A</t>
        </is>
      </c>
      <c r="D44" s="21" t="n">
        <v>1</v>
      </c>
      <c r="E44" s="20" t="inlineStr">
        <is>
          <t>court</t>
        </is>
      </c>
      <c r="F44" s="20" t="inlineStr">
        <is>
          <t>M-a</t>
        </is>
      </c>
      <c r="G44" s="20" t="inlineStr">
        <is>
          <t>M.CONV</t>
        </is>
      </c>
      <c r="H44" s="20" t="n"/>
      <c r="I44" s="20" t="inlineStr">
        <is>
          <t>Convertir 4,2 hL en litres</t>
        </is>
      </c>
    </row>
    <row r="45">
      <c r="A45" s="22" t="inlineStr">
        <is>
          <t>5eme</t>
        </is>
      </c>
      <c r="B45" s="23" t="inlineStr">
        <is>
          <t>M2</t>
        </is>
      </c>
      <c r="C45" s="23" t="inlineStr">
        <is>
          <t>A</t>
        </is>
      </c>
      <c r="D45" s="23" t="n">
        <v>1</v>
      </c>
      <c r="E45" s="22" t="inlineStr">
        <is>
          <t>court</t>
        </is>
      </c>
      <c r="F45" s="22" t="inlineStr">
        <is>
          <t>M-b</t>
        </is>
      </c>
      <c r="G45" s="22" t="inlineStr">
        <is>
          <t>M.AIRE</t>
        </is>
      </c>
      <c r="H45" s="22" t="n"/>
      <c r="I45" s="22" t="inlineStr">
        <is>
          <t>Calculer l'aire d'un parallélogramme de base 7 cm et de hauteur 4 cm</t>
        </is>
      </c>
    </row>
    <row r="46">
      <c r="A46" s="20" t="inlineStr">
        <is>
          <t>5eme</t>
        </is>
      </c>
      <c r="B46" s="21" t="inlineStr">
        <is>
          <t>M3</t>
        </is>
      </c>
      <c r="C46" s="21" t="inlineStr">
        <is>
          <t>A</t>
        </is>
      </c>
      <c r="D46" s="21" t="n">
        <v>1</v>
      </c>
      <c r="E46" s="20" t="inlineStr">
        <is>
          <t>qcm</t>
        </is>
      </c>
      <c r="F46" s="20" t="inlineStr">
        <is>
          <t>M-c</t>
        </is>
      </c>
      <c r="G46" s="20" t="inlineStr">
        <is>
          <t>G.SOL1</t>
        </is>
      </c>
      <c r="H46" s="20" t="inlineStr">
        <is>
          <t>M.AIRE</t>
        </is>
      </c>
      <c r="I46" s="20" t="inlineStr">
        <is>
          <t>Choisir l'aire totale d'un cube d'arête 5 cm (QCM)</t>
        </is>
      </c>
    </row>
    <row r="47">
      <c r="A47" s="22" t="inlineStr">
        <is>
          <t>5eme</t>
        </is>
      </c>
      <c r="B47" s="23" t="inlineStr">
        <is>
          <t>G1</t>
        </is>
      </c>
      <c r="C47" s="23" t="inlineStr">
        <is>
          <t>A</t>
        </is>
      </c>
      <c r="D47" s="23" t="n">
        <v>1</v>
      </c>
      <c r="E47" s="22" t="inlineStr">
        <is>
          <t>court</t>
        </is>
      </c>
      <c r="F47" s="22" t="inlineStr">
        <is>
          <t>G-a</t>
        </is>
      </c>
      <c r="G47" s="22" t="inlineStr">
        <is>
          <t>G.PARA</t>
        </is>
      </c>
      <c r="H47" s="22" t="n"/>
      <c r="I47" s="22" t="inlineStr">
        <is>
          <t>Donner la position de deux droites perpendiculaires à une même droite (Δ)</t>
        </is>
      </c>
    </row>
    <row r="48">
      <c r="A48" s="20" t="inlineStr">
        <is>
          <t>5eme</t>
        </is>
      </c>
      <c r="B48" s="21" t="inlineStr">
        <is>
          <t>G2</t>
        </is>
      </c>
      <c r="C48" s="21" t="inlineStr">
        <is>
          <t>A</t>
        </is>
      </c>
      <c r="D48" s="21" t="n">
        <v>1</v>
      </c>
      <c r="E48" s="20" t="inlineStr">
        <is>
          <t>court</t>
        </is>
      </c>
      <c r="F48" s="20" t="inlineStr">
        <is>
          <t>G-c</t>
        </is>
      </c>
      <c r="G48" s="20" t="inlineStr">
        <is>
          <t>G.TRI</t>
        </is>
      </c>
      <c r="H48" s="20" t="n"/>
      <c r="I48" s="20" t="inlineStr">
        <is>
          <t>Dire si un triangle de côtés 3 cm, 4 cm et 9 cm existe (OUI ou NON)</t>
        </is>
      </c>
    </row>
    <row r="49">
      <c r="A49" s="22" t="inlineStr">
        <is>
          <t>5eme</t>
        </is>
      </c>
      <c r="B49" s="23" t="inlineStr">
        <is>
          <t>G3</t>
        </is>
      </c>
      <c r="C49" s="23" t="inlineStr">
        <is>
          <t>A</t>
        </is>
      </c>
      <c r="D49" s="23" t="n">
        <v>1</v>
      </c>
      <c r="E49" s="22" t="inlineStr">
        <is>
          <t>court</t>
        </is>
      </c>
      <c r="F49" s="22" t="inlineStr">
        <is>
          <t>G-b</t>
        </is>
      </c>
      <c r="G49" s="22" t="inlineStr">
        <is>
          <t>G.ANG2</t>
        </is>
      </c>
      <c r="H49" s="22" t="n"/>
      <c r="I49" s="22" t="inlineStr">
        <is>
          <t>Calculer le supplémentaire d'un angle de 118°</t>
        </is>
      </c>
    </row>
    <row r="50">
      <c r="A50" s="20" t="inlineStr">
        <is>
          <t>5eme</t>
        </is>
      </c>
      <c r="B50" s="21" t="inlineStr">
        <is>
          <t>G4</t>
        </is>
      </c>
      <c r="C50" s="21" t="inlineStr">
        <is>
          <t>A</t>
        </is>
      </c>
      <c r="D50" s="21" t="n">
        <v>1</v>
      </c>
      <c r="E50" s="20" t="inlineStr">
        <is>
          <t>qcm</t>
        </is>
      </c>
      <c r="F50" s="20" t="inlineStr">
        <is>
          <t>G-e</t>
        </is>
      </c>
      <c r="G50" s="20" t="inlineStr">
        <is>
          <t>G.MED</t>
        </is>
      </c>
      <c r="H50" s="20" t="n"/>
      <c r="I50" s="20" t="inlineStr">
        <is>
          <t>Choisir ce qu'on peut affirmer d'un point P de la médiatrice de [EF] (QCM)</t>
        </is>
      </c>
    </row>
    <row r="51">
      <c r="A51" s="22" t="inlineStr">
        <is>
          <t>5eme</t>
        </is>
      </c>
      <c r="B51" s="23" t="inlineStr">
        <is>
          <t>G5</t>
        </is>
      </c>
      <c r="C51" s="23" t="inlineStr">
        <is>
          <t>A</t>
        </is>
      </c>
      <c r="D51" s="23" t="n">
        <v>1</v>
      </c>
      <c r="E51" s="22" t="inlineStr">
        <is>
          <t>qcm</t>
        </is>
      </c>
      <c r="F51" s="22" t="inlineStr">
        <is>
          <t>G-d</t>
        </is>
      </c>
      <c r="G51" s="22" t="inlineStr">
        <is>
          <t>G.PARAL</t>
        </is>
      </c>
      <c r="H51" s="22" t="n"/>
      <c r="I51" s="22" t="inlineStr">
        <is>
          <t>Choisir la propriété vraie d'un parallélogramme ABCD de centre O (QCM)</t>
        </is>
      </c>
    </row>
    <row r="52">
      <c r="A52" s="20" t="inlineStr">
        <is>
          <t>5eme</t>
        </is>
      </c>
      <c r="B52" s="21" t="inlineStr">
        <is>
          <t>D1</t>
        </is>
      </c>
      <c r="C52" s="21" t="inlineStr">
        <is>
          <t>A</t>
        </is>
      </c>
      <c r="D52" s="21" t="n">
        <v>1</v>
      </c>
      <c r="E52" s="20" t="inlineStr">
        <is>
          <t>qcm</t>
        </is>
      </c>
      <c r="F52" s="20" t="inlineStr">
        <is>
          <t>D-a</t>
        </is>
      </c>
      <c r="G52" s="20" t="inlineStr">
        <is>
          <t>D.POUR</t>
        </is>
      </c>
      <c r="H52" s="20" t="n"/>
      <c r="I52" s="20" t="inlineStr">
        <is>
          <t>Choisir le prix d'une moto de 450 000 FCFA après une remise de 20 % (QCM)</t>
        </is>
      </c>
    </row>
    <row r="53">
      <c r="A53" s="22" t="inlineStr">
        <is>
          <t>5eme</t>
        </is>
      </c>
      <c r="B53" s="23" t="inlineStr">
        <is>
          <t>D2</t>
        </is>
      </c>
      <c r="C53" s="23" t="inlineStr">
        <is>
          <t>A</t>
        </is>
      </c>
      <c r="D53" s="23" t="n">
        <v>1</v>
      </c>
      <c r="E53" s="22" t="inlineStr">
        <is>
          <t>court</t>
        </is>
      </c>
      <c r="F53" s="22" t="inlineStr">
        <is>
          <t>D-b</t>
        </is>
      </c>
      <c r="G53" s="22" t="inlineStr">
        <is>
          <t>G.REP</t>
        </is>
      </c>
      <c r="H53" s="22" t="n"/>
      <c r="I53" s="22" t="inlineStr">
        <is>
          <t>Donner les coordonnées de N : même abscisse que M(4 ; 7), ordonnée inférieure de 3</t>
        </is>
      </c>
    </row>
    <row r="54">
      <c r="A54" s="20" t="inlineStr">
        <is>
          <t>5eme</t>
        </is>
      </c>
      <c r="B54" s="21" t="inlineStr">
        <is>
          <t>N7</t>
        </is>
      </c>
      <c r="C54" s="21" t="inlineStr">
        <is>
          <t>B</t>
        </is>
      </c>
      <c r="D54" s="21" t="n">
        <v>2</v>
      </c>
      <c r="E54" s="20" t="inlineStr">
        <is>
          <t>rédigé</t>
        </is>
      </c>
      <c r="F54" s="20" t="inlineStr">
        <is>
          <t>N-b</t>
        </is>
      </c>
      <c r="G54" s="20" t="inlineStr">
        <is>
          <t>N.PRIO</t>
        </is>
      </c>
      <c r="H54" s="20" t="n"/>
      <c r="I54" s="20" t="inlineStr">
        <is>
          <t>Expliquer l'erreur 5 + 3 × 8 = 64 et écrire une expression parenthésée égale à 64</t>
        </is>
      </c>
    </row>
    <row r="55">
      <c r="A55" s="22" t="inlineStr">
        <is>
          <t>5eme</t>
        </is>
      </c>
      <c r="B55" s="23" t="inlineStr">
        <is>
          <t>N8</t>
        </is>
      </c>
      <c r="C55" s="23" t="inlineStr">
        <is>
          <t>B</t>
        </is>
      </c>
      <c r="D55" s="23" t="n">
        <v>2</v>
      </c>
      <c r="E55" s="22" t="inlineStr">
        <is>
          <t>rédigé</t>
        </is>
      </c>
      <c r="F55" s="22" t="inlineStr">
        <is>
          <t>N-d</t>
        </is>
      </c>
      <c r="G55" s="22" t="inlineStr">
        <is>
          <t>N.FRA1</t>
        </is>
      </c>
      <c r="H55" s="22" t="n"/>
      <c r="I55" s="22" t="inlineStr">
        <is>
          <t>Retrouver la récolte de niébé (2/5 vendus, reste 54 kg) et juger reste &gt; vendu</t>
        </is>
      </c>
    </row>
    <row r="56">
      <c r="A56" s="20" t="inlineStr">
        <is>
          <t>5eme</t>
        </is>
      </c>
      <c r="B56" s="21" t="inlineStr">
        <is>
          <t>N9</t>
        </is>
      </c>
      <c r="C56" s="21" t="inlineStr">
        <is>
          <t>B</t>
        </is>
      </c>
      <c r="D56" s="21" t="n">
        <v>2</v>
      </c>
      <c r="E56" s="20" t="inlineStr">
        <is>
          <t>rédigé</t>
        </is>
      </c>
      <c r="F56" s="20" t="inlineStr">
        <is>
          <t>N-e</t>
        </is>
      </c>
      <c r="G56" s="20" t="inlineStr">
        <is>
          <t>N.REL</t>
        </is>
      </c>
      <c r="H56" s="20" t="n"/>
      <c r="I56" s="20" t="inlineStr">
        <is>
          <t>Donner les abscisses de B à 7 cm de A(-4) sur une droite graduée et expliquer</t>
        </is>
      </c>
    </row>
    <row r="57">
      <c r="A57" s="22" t="inlineStr">
        <is>
          <t>5eme</t>
        </is>
      </c>
      <c r="B57" s="23" t="inlineStr">
        <is>
          <t>N10</t>
        </is>
      </c>
      <c r="C57" s="23" t="inlineStr">
        <is>
          <t>B</t>
        </is>
      </c>
      <c r="D57" s="23" t="n">
        <v>2</v>
      </c>
      <c r="E57" s="22" t="inlineStr">
        <is>
          <t>rédigé</t>
        </is>
      </c>
      <c r="F57" s="22" t="inlineStr">
        <is>
          <t>N-f</t>
        </is>
      </c>
      <c r="G57" s="22" t="inlineStr">
        <is>
          <t>N.EGT</t>
        </is>
      </c>
      <c r="H57" s="22" t="n"/>
      <c r="I57" s="22" t="inlineStr">
        <is>
          <t>Retrouver le nombre de Fatimata (× 6 puis + 14 donne 92) et vérifier</t>
        </is>
      </c>
    </row>
    <row r="58">
      <c r="A58" s="20" t="inlineStr">
        <is>
          <t>5eme</t>
        </is>
      </c>
      <c r="B58" s="21" t="inlineStr">
        <is>
          <t>M4</t>
        </is>
      </c>
      <c r="C58" s="21" t="inlineStr">
        <is>
          <t>B</t>
        </is>
      </c>
      <c r="D58" s="21" t="n">
        <v>2</v>
      </c>
      <c r="E58" s="20" t="inlineStr">
        <is>
          <t>rédigé</t>
        </is>
      </c>
      <c r="F58" s="20" t="inlineStr">
        <is>
          <t>M-a</t>
        </is>
      </c>
      <c r="G58" s="20" t="inlineStr">
        <is>
          <t>M.PER</t>
        </is>
      </c>
      <c r="H58" s="20" t="inlineStr">
        <is>
          <t>M.CONV</t>
        </is>
      </c>
      <c r="I58" s="20" t="inlineStr">
        <is>
          <t>Calculer la largeur d'un champ (périmètre 360 m, longueur 110 m) et la convertir en dam</t>
        </is>
      </c>
    </row>
    <row r="59">
      <c r="A59" s="22" t="inlineStr">
        <is>
          <t>5eme</t>
        </is>
      </c>
      <c r="B59" s="23" t="inlineStr">
        <is>
          <t>M5</t>
        </is>
      </c>
      <c r="C59" s="23" t="inlineStr">
        <is>
          <t>B</t>
        </is>
      </c>
      <c r="D59" s="23" t="n">
        <v>2</v>
      </c>
      <c r="E59" s="22" t="inlineStr">
        <is>
          <t>rédigé</t>
        </is>
      </c>
      <c r="F59" s="22" t="inlineStr">
        <is>
          <t>M-b</t>
        </is>
      </c>
      <c r="G59" s="22" t="inlineStr">
        <is>
          <t>M.AIRE</t>
        </is>
      </c>
      <c r="H59" s="22" t="n"/>
      <c r="I59" s="22" t="inlineStr">
        <is>
          <t>Calculer l'aire découverte (salle de 54 m², tapis carré de 4 m) et la comparer à la moitié</t>
        </is>
      </c>
    </row>
    <row r="60">
      <c r="A60" s="20" t="inlineStr">
        <is>
          <t>5eme</t>
        </is>
      </c>
      <c r="B60" s="21" t="inlineStr">
        <is>
          <t>G6</t>
        </is>
      </c>
      <c r="C60" s="21" t="inlineStr">
        <is>
          <t>B</t>
        </is>
      </c>
      <c r="D60" s="21" t="n">
        <v>2</v>
      </c>
      <c r="E60" s="20" t="inlineStr">
        <is>
          <t>rédigé</t>
        </is>
      </c>
      <c r="F60" s="20" t="inlineStr">
        <is>
          <t>G-b</t>
        </is>
      </c>
      <c r="G60" s="20" t="inlineStr">
        <is>
          <t>G.ANG2</t>
        </is>
      </c>
      <c r="H60" s="20" t="inlineStr">
        <is>
          <t>G.ANG1</t>
        </is>
      </c>
      <c r="I60" s="20" t="inlineStr">
        <is>
          <t>Calculer deux angles supplémentaires dont l'un est le double de l'autre, nommer l'obtus</t>
        </is>
      </c>
    </row>
    <row r="61">
      <c r="A61" s="22" t="inlineStr">
        <is>
          <t>5eme</t>
        </is>
      </c>
      <c r="B61" s="23" t="inlineStr">
        <is>
          <t>G7</t>
        </is>
      </c>
      <c r="C61" s="23" t="inlineStr">
        <is>
          <t>B</t>
        </is>
      </c>
      <c r="D61" s="23" t="n">
        <v>2</v>
      </c>
      <c r="E61" s="22" t="inlineStr">
        <is>
          <t>rédigé</t>
        </is>
      </c>
      <c r="F61" s="22" t="inlineStr">
        <is>
          <t>G-c</t>
        </is>
      </c>
      <c r="G61" s="22" t="inlineStr">
        <is>
          <t>G.TRI</t>
        </is>
      </c>
      <c r="H61" s="22" t="inlineStr">
        <is>
          <t>M.PER</t>
        </is>
      </c>
      <c r="I61" s="22" t="inlineStr">
        <is>
          <t>Calculer EF (EFG isocèle en E, périmètre 22 cm, FG = 8 cm) et écrire le programme</t>
        </is>
      </c>
    </row>
    <row r="62">
      <c r="A62" s="20" t="inlineStr">
        <is>
          <t>5eme</t>
        </is>
      </c>
      <c r="B62" s="21" t="inlineStr">
        <is>
          <t>G8</t>
        </is>
      </c>
      <c r="C62" s="21" t="inlineStr">
        <is>
          <t>B</t>
        </is>
      </c>
      <c r="D62" s="21" t="n">
        <v>2</v>
      </c>
      <c r="E62" s="20" t="inlineStr">
        <is>
          <t>rédigé</t>
        </is>
      </c>
      <c r="F62" s="20" t="inlineStr">
        <is>
          <t>G-d</t>
        </is>
      </c>
      <c r="G62" s="20" t="inlineStr">
        <is>
          <t>G.PARAL</t>
        </is>
      </c>
      <c r="H62" s="20" t="inlineStr">
        <is>
          <t>M.PER</t>
        </is>
      </c>
      <c r="I62" s="20" t="inlineStr">
        <is>
          <t>Calculer NP (parallélogramme de périmètre 26 cm, MN = 8 cm) et juger « losange »</t>
        </is>
      </c>
    </row>
    <row r="63">
      <c r="A63" s="22" t="inlineStr">
        <is>
          <t>5eme</t>
        </is>
      </c>
      <c r="B63" s="23" t="inlineStr">
        <is>
          <t>G9</t>
        </is>
      </c>
      <c r="C63" s="23" t="inlineStr">
        <is>
          <t>B</t>
        </is>
      </c>
      <c r="D63" s="23" t="n">
        <v>2</v>
      </c>
      <c r="E63" s="22" t="inlineStr">
        <is>
          <t>rédigé</t>
        </is>
      </c>
      <c r="F63" s="22" t="inlineStr">
        <is>
          <t>G-e</t>
        </is>
      </c>
      <c r="G63" s="22" t="inlineStr">
        <is>
          <t>G.MED</t>
        </is>
      </c>
      <c r="H63" s="22" t="inlineStr">
        <is>
          <t>G.VOC</t>
        </is>
      </c>
      <c r="I63" s="22" t="inlineStr">
        <is>
          <t>Donner MB (M sur la médiatrice de [AB] de 6 cm, MA = 5 cm) et juger « milieu »</t>
        </is>
      </c>
    </row>
    <row r="64">
      <c r="A64" s="20" t="inlineStr">
        <is>
          <t>5eme</t>
        </is>
      </c>
      <c r="B64" s="21" t="inlineStr">
        <is>
          <t>D3</t>
        </is>
      </c>
      <c r="C64" s="21" t="inlineStr">
        <is>
          <t>B</t>
        </is>
      </c>
      <c r="D64" s="21" t="n">
        <v>2</v>
      </c>
      <c r="E64" s="20" t="inlineStr">
        <is>
          <t>rédigé</t>
        </is>
      </c>
      <c r="F64" s="20" t="inlineStr">
        <is>
          <t>D-a</t>
        </is>
      </c>
      <c r="G64" s="20" t="inlineStr">
        <is>
          <t>D.PROP</t>
        </is>
      </c>
      <c r="H64" s="20" t="n"/>
      <c r="I64" s="20" t="inlineStr">
        <is>
          <t>Calculer la longueur de tissu pour 15 000 FCFA (6 m pour 9 000 FCFA) et juger 12 m</t>
        </is>
      </c>
    </row>
    <row r="65">
      <c r="A65" s="22" t="inlineStr">
        <is>
          <t>5eme</t>
        </is>
      </c>
      <c r="B65" s="23" t="inlineStr">
        <is>
          <t>P1.1</t>
        </is>
      </c>
      <c r="C65" s="23" t="inlineStr">
        <is>
          <t>C</t>
        </is>
      </c>
      <c r="D65" s="23" t="n">
        <v>2</v>
      </c>
      <c r="E65" s="22" t="inlineStr">
        <is>
          <t>rédigé</t>
        </is>
      </c>
      <c r="F65" s="22" t="inlineStr">
        <is>
          <t>G-a</t>
        </is>
      </c>
      <c r="G65" s="22" t="inlineStr">
        <is>
          <t>G.PARA</t>
        </is>
      </c>
      <c r="H65" s="22" t="n"/>
      <c r="I65" s="22" t="inlineStr">
        <is>
          <t>Juger l'affirmation : deux perpendiculaires à (AB) se coupent dans l'atelier (Bobo-Dioulasso)</t>
        </is>
      </c>
    </row>
    <row r="66">
      <c r="A66" s="20" t="inlineStr">
        <is>
          <t>5eme</t>
        </is>
      </c>
      <c r="B66" s="21" t="inlineStr">
        <is>
          <t>P1.2</t>
        </is>
      </c>
      <c r="C66" s="21" t="inlineStr">
        <is>
          <t>C</t>
        </is>
      </c>
      <c r="D66" s="21" t="n">
        <v>2</v>
      </c>
      <c r="E66" s="20" t="inlineStr">
        <is>
          <t>rédigé</t>
        </is>
      </c>
      <c r="F66" s="20" t="inlineStr">
        <is>
          <t>G-d</t>
        </is>
      </c>
      <c r="G66" s="20" t="inlineStr">
        <is>
          <t>G.PARAL</t>
        </is>
      </c>
      <c r="H66" s="20" t="inlineStr">
        <is>
          <t>M.AIRE</t>
        </is>
      </c>
      <c r="I66" s="20" t="inlineStr">
        <is>
          <t>Nommer ABCD à quatre angles droits (AB = 12 m, AD = 7 m) et calculer l'aire du sol</t>
        </is>
      </c>
    </row>
    <row r="67">
      <c r="A67" s="22" t="inlineStr">
        <is>
          <t>5eme</t>
        </is>
      </c>
      <c r="B67" s="23" t="inlineStr">
        <is>
          <t>P1.3</t>
        </is>
      </c>
      <c r="C67" s="23" t="inlineStr">
        <is>
          <t>C</t>
        </is>
      </c>
      <c r="D67" s="23" t="n">
        <v>3</v>
      </c>
      <c r="E67" s="22" t="inlineStr">
        <is>
          <t>rédigé</t>
        </is>
      </c>
      <c r="F67" s="22" t="inlineStr">
        <is>
          <t>M-c</t>
        </is>
      </c>
      <c r="G67" s="22" t="inlineStr">
        <is>
          <t>M.VOL</t>
        </is>
      </c>
      <c r="H67" s="22" t="inlineStr">
        <is>
          <t>N.NUM</t>
        </is>
      </c>
      <c r="I67" s="22" t="inlineStr">
        <is>
          <t>Calculer le volume d'une dalle de 84 m² sur 0,1 m et juger si 9 m³ suffisent</t>
        </is>
      </c>
    </row>
    <row r="68">
      <c r="A68" s="20" t="inlineStr">
        <is>
          <t>5eme</t>
        </is>
      </c>
      <c r="B68" s="21" t="inlineStr">
        <is>
          <t>P2.1</t>
        </is>
      </c>
      <c r="C68" s="21" t="inlineStr">
        <is>
          <t>C</t>
        </is>
      </c>
      <c r="D68" s="21" t="n">
        <v>2</v>
      </c>
      <c r="E68" s="20" t="inlineStr">
        <is>
          <t>rédigé</t>
        </is>
      </c>
      <c r="F68" s="20" t="inlineStr">
        <is>
          <t>N-c</t>
        </is>
      </c>
      <c r="G68" s="20" t="inlineStr">
        <is>
          <t>N.AST</t>
        </is>
      </c>
      <c r="H68" s="20" t="n"/>
      <c r="I68" s="20" t="inlineStr">
        <is>
          <t>Calculer astucieusement 25 × 4 × 18 savons en indiquant le regroupement (Ouahigouya)</t>
        </is>
      </c>
    </row>
    <row r="69">
      <c r="A69" s="22" t="inlineStr">
        <is>
          <t>5eme</t>
        </is>
      </c>
      <c r="B69" s="23" t="inlineStr">
        <is>
          <t>P2.2</t>
        </is>
      </c>
      <c r="C69" s="23" t="inlineStr">
        <is>
          <t>C</t>
        </is>
      </c>
      <c r="D69" s="23" t="n">
        <v>2</v>
      </c>
      <c r="E69" s="22" t="inlineStr">
        <is>
          <t>rédigé</t>
        </is>
      </c>
      <c r="F69" s="22" t="inlineStr">
        <is>
          <t>D-a</t>
        </is>
      </c>
      <c r="G69" s="22" t="inlineStr">
        <is>
          <t>D.PROP</t>
        </is>
      </c>
      <c r="H69" s="22" t="n"/>
      <c r="I69" s="22" t="inlineStr">
        <is>
          <t>Calculer le prix d'un savon : 450 000 FCFA pour 1 800 savons</t>
        </is>
      </c>
    </row>
    <row r="70">
      <c r="A70" s="20" t="inlineStr">
        <is>
          <t>5eme</t>
        </is>
      </c>
      <c r="B70" s="21" t="inlineStr">
        <is>
          <t>P2.3</t>
        </is>
      </c>
      <c r="C70" s="21" t="inlineStr">
        <is>
          <t>C</t>
        </is>
      </c>
      <c r="D70" s="21" t="n">
        <v>3</v>
      </c>
      <c r="E70" s="20" t="inlineStr">
        <is>
          <t>rédigé</t>
        </is>
      </c>
      <c r="F70" s="20" t="inlineStr">
        <is>
          <t>N-b</t>
        </is>
      </c>
      <c r="G70" s="20" t="inlineStr">
        <is>
          <t>N.PRIO</t>
        </is>
      </c>
      <c r="H70" s="20" t="inlineStr">
        <is>
          <t>D.PROP</t>
        </is>
      </c>
      <c r="I70" s="20" t="inlineStr">
        <is>
          <t>Calculer le bénéfice sur 1 800 savons (achat 250, vente 325 FCFA), juger 150 000</t>
        </is>
      </c>
    </row>
    <row r="71">
      <c r="A71" s="22" t="inlineStr">
        <is>
          <t>5eme</t>
        </is>
      </c>
      <c r="B71" s="23" t="inlineStr">
        <is>
          <t>P3.1</t>
        </is>
      </c>
      <c r="C71" s="23" t="inlineStr">
        <is>
          <t>C</t>
        </is>
      </c>
      <c r="D71" s="23" t="n">
        <v>2</v>
      </c>
      <c r="E71" s="22" t="inlineStr">
        <is>
          <t>rédigé</t>
        </is>
      </c>
      <c r="F71" s="22" t="inlineStr">
        <is>
          <t>D-b</t>
        </is>
      </c>
      <c r="G71" s="22" t="inlineStr">
        <is>
          <t>F.REL</t>
        </is>
      </c>
      <c r="H71" s="22" t="inlineStr">
        <is>
          <t>N.PRIO</t>
        </is>
      </c>
      <c r="I71" s="22" t="inlineStr">
        <is>
          <t>Compléter le tableau des prix (Noaga 15 000 + 900 par sac, Drissa 1 500 par sac)</t>
        </is>
      </c>
    </row>
    <row r="72">
      <c r="A72" s="20" t="inlineStr">
        <is>
          <t>5eme</t>
        </is>
      </c>
      <c r="B72" s="21" t="inlineStr">
        <is>
          <t>P3.2</t>
        </is>
      </c>
      <c r="C72" s="21" t="inlineStr">
        <is>
          <t>C</t>
        </is>
      </c>
      <c r="D72" s="21" t="n">
        <v>3</v>
      </c>
      <c r="E72" s="20" t="inlineStr">
        <is>
          <t>rédigé</t>
        </is>
      </c>
      <c r="F72" s="20" t="inlineStr">
        <is>
          <t>D-a</t>
        </is>
      </c>
      <c r="G72" s="20" t="inlineStr">
        <is>
          <t>D.PROP</t>
        </is>
      </c>
      <c r="H72" s="20" t="n"/>
      <c r="I72" s="20" t="inlineStr">
        <is>
          <t>Dire lequel des deux tarifs de transport est proportionnel au nombre de sacs, en justifiant</t>
        </is>
      </c>
    </row>
    <row r="73">
      <c r="A73" s="22" t="inlineStr">
        <is>
          <t>5eme</t>
        </is>
      </c>
      <c r="B73" s="23" t="inlineStr">
        <is>
          <t>P3.3</t>
        </is>
      </c>
      <c r="C73" s="23" t="inlineStr">
        <is>
          <t>C</t>
        </is>
      </c>
      <c r="D73" s="23" t="n">
        <v>3</v>
      </c>
      <c r="E73" s="22" t="inlineStr">
        <is>
          <t>rédigé</t>
        </is>
      </c>
      <c r="F73" s="22" t="inlineStr">
        <is>
          <t>N-a</t>
        </is>
      </c>
      <c r="G73" s="22" t="inlineStr">
        <is>
          <t>N.NUM</t>
        </is>
      </c>
      <c r="H73" s="22" t="inlineStr">
        <is>
          <t>M.CONV</t>
        </is>
      </c>
      <c r="I73" s="22" t="inlineStr">
        <is>
          <t>Juger si 25 sacs de 48,5 kg tiennent dans 1,5 t, nommer la donnée manquante</t>
        </is>
      </c>
    </row>
    <row r="74">
      <c r="A74" s="20" t="inlineStr">
        <is>
          <t>4eme</t>
        </is>
      </c>
      <c r="B74" s="21" t="inlineStr">
        <is>
          <t>N1</t>
        </is>
      </c>
      <c r="C74" s="21" t="inlineStr">
        <is>
          <t>A</t>
        </is>
      </c>
      <c r="D74" s="21" t="n">
        <v>1</v>
      </c>
      <c r="E74" s="20" t="inlineStr">
        <is>
          <t>court</t>
        </is>
      </c>
      <c r="F74" s="20" t="inlineStr">
        <is>
          <t>N-a</t>
        </is>
      </c>
      <c r="G74" s="20" t="inlineStr">
        <is>
          <t>N.DIVIS</t>
        </is>
      </c>
      <c r="H74" s="20" t="n"/>
      <c r="I74" s="20" t="inlineStr">
        <is>
          <t>Choisir parmi 2 352 ; 4 725 ; 6 138 le nombre divisible à la fois par 2 et par 9</t>
        </is>
      </c>
    </row>
    <row r="75">
      <c r="A75" s="22" t="inlineStr">
        <is>
          <t>4eme</t>
        </is>
      </c>
      <c r="B75" s="23" t="inlineStr">
        <is>
          <t>N2</t>
        </is>
      </c>
      <c r="C75" s="23" t="inlineStr">
        <is>
          <t>A</t>
        </is>
      </c>
      <c r="D75" s="23" t="n">
        <v>1</v>
      </c>
      <c r="E75" s="22" t="inlineStr">
        <is>
          <t>qcm</t>
        </is>
      </c>
      <c r="F75" s="22" t="inlineStr">
        <is>
          <t>N-d</t>
        </is>
      </c>
      <c r="G75" s="22" t="inlineStr">
        <is>
          <t>N.RELOP</t>
        </is>
      </c>
      <c r="H75" s="22" t="n"/>
      <c r="I75" s="22" t="inlineStr">
        <is>
          <t>Calculer (-8) + (+15) + (-11) et choisir le résultat parmi quatre propositions</t>
        </is>
      </c>
    </row>
    <row r="76">
      <c r="A76" s="20" t="inlineStr">
        <is>
          <t>4eme</t>
        </is>
      </c>
      <c r="B76" s="21" t="inlineStr">
        <is>
          <t>N3</t>
        </is>
      </c>
      <c r="C76" s="21" t="inlineStr">
        <is>
          <t>A</t>
        </is>
      </c>
      <c r="D76" s="21" t="n">
        <v>1</v>
      </c>
      <c r="E76" s="20" t="inlineStr">
        <is>
          <t>court</t>
        </is>
      </c>
      <c r="F76" s="20" t="inlineStr">
        <is>
          <t>N-c</t>
        </is>
      </c>
      <c r="G76" s="20" t="inlineStr">
        <is>
          <t>N.FRA2</t>
        </is>
      </c>
      <c r="H76" s="20" t="n"/>
      <c r="I76" s="20" t="inlineStr">
        <is>
          <t>Calculer 5/6 - 3/8 et donner le résultat sous forme de fraction irréductible</t>
        </is>
      </c>
    </row>
    <row r="77">
      <c r="A77" s="22" t="inlineStr">
        <is>
          <t>4eme</t>
        </is>
      </c>
      <c r="B77" s="23" t="inlineStr">
        <is>
          <t>N4</t>
        </is>
      </c>
      <c r="C77" s="23" t="inlineStr">
        <is>
          <t>A</t>
        </is>
      </c>
      <c r="D77" s="23" t="n">
        <v>1</v>
      </c>
      <c r="E77" s="22" t="inlineStr">
        <is>
          <t>court</t>
        </is>
      </c>
      <c r="F77" s="22" t="inlineStr">
        <is>
          <t>N-f</t>
        </is>
      </c>
      <c r="G77" s="22" t="inlineStr">
        <is>
          <t>N.PUI</t>
        </is>
      </c>
      <c r="H77" s="22" t="n"/>
      <c r="I77" s="22" t="inlineStr">
        <is>
          <t>Ecrire 3⁷ × 3² / 3⁵ sous la forme d'une seule puissance de 3</t>
        </is>
      </c>
    </row>
    <row r="78">
      <c r="A78" s="20" t="inlineStr">
        <is>
          <t>4eme</t>
        </is>
      </c>
      <c r="B78" s="21" t="inlineStr">
        <is>
          <t>N5</t>
        </is>
      </c>
      <c r="C78" s="21" t="inlineStr">
        <is>
          <t>A</t>
        </is>
      </c>
      <c r="D78" s="21" t="n">
        <v>1</v>
      </c>
      <c r="E78" s="20" t="inlineStr">
        <is>
          <t>court</t>
        </is>
      </c>
      <c r="F78" s="20" t="inlineStr">
        <is>
          <t>N-g</t>
        </is>
      </c>
      <c r="G78" s="20" t="inlineStr">
        <is>
          <t>N.VAB</t>
        </is>
      </c>
      <c r="H78" s="20" t="n"/>
      <c r="I78" s="20" t="inlineStr">
        <is>
          <t>Ranger dans l'ordre croissant -7,2 ; |-8| ; -|-3| ; 6,5</t>
        </is>
      </c>
    </row>
    <row r="79">
      <c r="A79" s="22" t="inlineStr">
        <is>
          <t>4eme</t>
        </is>
      </c>
      <c r="B79" s="23" t="inlineStr">
        <is>
          <t>N6</t>
        </is>
      </c>
      <c r="C79" s="23" t="inlineStr">
        <is>
          <t>A</t>
        </is>
      </c>
      <c r="D79" s="23" t="n">
        <v>1</v>
      </c>
      <c r="E79" s="22" t="inlineStr">
        <is>
          <t>court</t>
        </is>
      </c>
      <c r="F79" s="22" t="inlineStr">
        <is>
          <t>N-b</t>
        </is>
      </c>
      <c r="G79" s="22" t="inlineStr">
        <is>
          <t>N.PGCD</t>
        </is>
      </c>
      <c r="H79" s="22" t="n"/>
      <c r="I79" s="22" t="inlineStr">
        <is>
          <t>Calculer le PPCM de 15 et de 18</t>
        </is>
      </c>
    </row>
    <row r="80">
      <c r="A80" s="20" t="inlineStr">
        <is>
          <t>4eme</t>
        </is>
      </c>
      <c r="B80" s="21" t="inlineStr">
        <is>
          <t>N7</t>
        </is>
      </c>
      <c r="C80" s="21" t="inlineStr">
        <is>
          <t>A</t>
        </is>
      </c>
      <c r="D80" s="21" t="n">
        <v>1</v>
      </c>
      <c r="E80" s="20" t="inlineStr">
        <is>
          <t>court</t>
        </is>
      </c>
      <c r="F80" s="20" t="inlineStr">
        <is>
          <t>N-e</t>
        </is>
      </c>
      <c r="G80" s="20" t="inlineStr">
        <is>
          <t>L.DEV1</t>
        </is>
      </c>
      <c r="H80" s="20" t="n"/>
      <c r="I80" s="20" t="inlineStr">
        <is>
          <t>Factoriser l'expression 14x + 21</t>
        </is>
      </c>
    </row>
    <row r="81">
      <c r="A81" s="22" t="inlineStr">
        <is>
          <t>4eme</t>
        </is>
      </c>
      <c r="B81" s="23" t="inlineStr">
        <is>
          <t>L1</t>
        </is>
      </c>
      <c r="C81" s="23" t="inlineStr">
        <is>
          <t>A</t>
        </is>
      </c>
      <c r="D81" s="23" t="n">
        <v>1</v>
      </c>
      <c r="E81" s="22" t="inlineStr">
        <is>
          <t>qcm</t>
        </is>
      </c>
      <c r="F81" s="22" t="inlineStr">
        <is>
          <t>L-a</t>
        </is>
      </c>
      <c r="G81" s="22" t="inlineStr">
        <is>
          <t>L.EGA</t>
        </is>
      </c>
      <c r="H81" s="22" t="n"/>
      <c r="I81" s="22" t="inlineStr">
        <is>
          <t>Choisir l'opération appliquée aux deux membres pour passer de x/5 = 8 à x = 40</t>
        </is>
      </c>
    </row>
    <row r="82">
      <c r="A82" s="20" t="inlineStr">
        <is>
          <t>4eme</t>
        </is>
      </c>
      <c r="B82" s="21" t="inlineStr">
        <is>
          <t>L2</t>
        </is>
      </c>
      <c r="C82" s="21" t="inlineStr">
        <is>
          <t>A</t>
        </is>
      </c>
      <c r="D82" s="21" t="n">
        <v>1</v>
      </c>
      <c r="E82" s="20" t="inlineStr">
        <is>
          <t>court</t>
        </is>
      </c>
      <c r="F82" s="20" t="inlineStr">
        <is>
          <t>L-b</t>
        </is>
      </c>
      <c r="G82" s="20" t="inlineStr">
        <is>
          <t>L.EQD</t>
        </is>
      </c>
      <c r="H82" s="20" t="n"/>
      <c r="I82" s="20" t="inlineStr">
        <is>
          <t>Résoudre dans D l'équation 4x - 9 = 15</t>
        </is>
      </c>
    </row>
    <row r="83">
      <c r="A83" s="22" t="inlineStr">
        <is>
          <t>4eme</t>
        </is>
      </c>
      <c r="B83" s="23" t="inlineStr">
        <is>
          <t>G1</t>
        </is>
      </c>
      <c r="C83" s="23" t="inlineStr">
        <is>
          <t>A</t>
        </is>
      </c>
      <c r="D83" s="23" t="n">
        <v>1</v>
      </c>
      <c r="E83" s="22" t="inlineStr">
        <is>
          <t>court</t>
        </is>
      </c>
      <c r="F83" s="22" t="inlineStr">
        <is>
          <t>G-b</t>
        </is>
      </c>
      <c r="G83" s="22" t="inlineStr">
        <is>
          <t>G.ANG3</t>
        </is>
      </c>
      <c r="H83" s="22" t="n"/>
      <c r="I83" s="22" t="inlineStr">
        <is>
          <t>Donner l'angle v correspondant à u = 116°, droites (d) et (d') parallèles coupées par une sécante</t>
        </is>
      </c>
    </row>
    <row r="84">
      <c r="A84" s="20" t="inlineStr">
        <is>
          <t>4eme</t>
        </is>
      </c>
      <c r="B84" s="21" t="inlineStr">
        <is>
          <t>G2</t>
        </is>
      </c>
      <c r="C84" s="21" t="inlineStr">
        <is>
          <t>A</t>
        </is>
      </c>
      <c r="D84" s="21" t="n">
        <v>1</v>
      </c>
      <c r="E84" s="20" t="inlineStr">
        <is>
          <t>qcm</t>
        </is>
      </c>
      <c r="F84" s="20" t="inlineStr">
        <is>
          <t>G-c</t>
        </is>
      </c>
      <c r="G84" s="20" t="inlineStr">
        <is>
          <t>G.TRIP</t>
        </is>
      </c>
      <c r="H84" s="20" t="n"/>
      <c r="I84" s="20" t="inlineStr">
        <is>
          <t>Choisir la mesure de l'angle N d'un triangle MNP isocèle en M où l'angle M mesure 44°</t>
        </is>
      </c>
    </row>
    <row r="85">
      <c r="A85" s="22" t="inlineStr">
        <is>
          <t>4eme</t>
        </is>
      </c>
      <c r="B85" s="23" t="inlineStr">
        <is>
          <t>G3</t>
        </is>
      </c>
      <c r="C85" s="23" t="inlineStr">
        <is>
          <t>A</t>
        </is>
      </c>
      <c r="D85" s="23" t="n">
        <v>1</v>
      </c>
      <c r="E85" s="22" t="inlineStr">
        <is>
          <t>court</t>
        </is>
      </c>
      <c r="F85" s="22" t="inlineStr">
        <is>
          <t>G-a</t>
        </is>
      </c>
      <c r="G85" s="22" t="inlineStr">
        <is>
          <t>G.SYMC</t>
        </is>
      </c>
      <c r="H85" s="22" t="n"/>
      <c r="I85" s="22" t="inlineStr">
        <is>
          <t>Donner A'B' et l'angle A'B'C' par la symétrie de centre O (AB = 5,4 cm ; angle ABC = 63°)</t>
        </is>
      </c>
    </row>
    <row r="86">
      <c r="A86" s="20" t="inlineStr">
        <is>
          <t>4eme</t>
        </is>
      </c>
      <c r="B86" s="21" t="inlineStr">
        <is>
          <t>G4</t>
        </is>
      </c>
      <c r="C86" s="21" t="inlineStr">
        <is>
          <t>A</t>
        </is>
      </c>
      <c r="D86" s="21" t="n">
        <v>1</v>
      </c>
      <c r="E86" s="20" t="inlineStr">
        <is>
          <t>qcm</t>
        </is>
      </c>
      <c r="F86" s="20" t="inlineStr">
        <is>
          <t>G-d</t>
        </is>
      </c>
      <c r="G86" s="20" t="inlineStr">
        <is>
          <t>M.VOL</t>
        </is>
      </c>
      <c r="H86" s="20" t="n"/>
      <c r="I86" s="20" t="inlineStr">
        <is>
          <t>Choisir le volume d'un cône de révolution de rayon 3 cm et de hauteur 7 cm</t>
        </is>
      </c>
    </row>
    <row r="87">
      <c r="A87" s="22" t="inlineStr">
        <is>
          <t>4eme</t>
        </is>
      </c>
      <c r="B87" s="23" t="inlineStr">
        <is>
          <t>M1</t>
        </is>
      </c>
      <c r="C87" s="23" t="inlineStr">
        <is>
          <t>A</t>
        </is>
      </c>
      <c r="D87" s="23" t="n">
        <v>1</v>
      </c>
      <c r="E87" s="22" t="inlineStr">
        <is>
          <t>qcm</t>
        </is>
      </c>
      <c r="F87" s="22" t="inlineStr">
        <is>
          <t>M-a</t>
        </is>
      </c>
      <c r="G87" s="22" t="inlineStr">
        <is>
          <t>M.MVD</t>
        </is>
      </c>
      <c r="H87" s="22" t="n"/>
      <c r="I87" s="22" t="inlineStr">
        <is>
          <t>Choisir la vitesse moyenne d'un cycliste qui parcourt 36 km en 1 h 30 min</t>
        </is>
      </c>
    </row>
    <row r="88">
      <c r="A88" s="20" t="inlineStr">
        <is>
          <t>4eme</t>
        </is>
      </c>
      <c r="B88" s="21" t="inlineStr">
        <is>
          <t>M2</t>
        </is>
      </c>
      <c r="C88" s="21" t="inlineStr">
        <is>
          <t>A</t>
        </is>
      </c>
      <c r="D88" s="21" t="n">
        <v>1</v>
      </c>
      <c r="E88" s="20" t="inlineStr">
        <is>
          <t>court</t>
        </is>
      </c>
      <c r="F88" s="20" t="inlineStr">
        <is>
          <t>M-b</t>
        </is>
      </c>
      <c r="G88" s="20" t="inlineStr">
        <is>
          <t>M.ECH</t>
        </is>
      </c>
      <c r="H88" s="20" t="n"/>
      <c r="I88" s="20" t="inlineStr">
        <is>
          <t>Calculer en km la distance réelle de 8 cm mesurée sur une carte à l'échelle 1/250 000</t>
        </is>
      </c>
    </row>
    <row r="89">
      <c r="A89" s="22" t="inlineStr">
        <is>
          <t>4eme</t>
        </is>
      </c>
      <c r="B89" s="23" t="inlineStr">
        <is>
          <t>D1</t>
        </is>
      </c>
      <c r="C89" s="23" t="inlineStr">
        <is>
          <t>A</t>
        </is>
      </c>
      <c r="D89" s="23" t="n">
        <v>1</v>
      </c>
      <c r="E89" s="22" t="inlineStr">
        <is>
          <t>qcm</t>
        </is>
      </c>
      <c r="F89" s="22" t="inlineStr">
        <is>
          <t>D-a</t>
        </is>
      </c>
      <c r="G89" s="22" t="inlineStr">
        <is>
          <t>D.POUR</t>
        </is>
      </c>
      <c r="H89" s="22" t="n"/>
      <c r="I89" s="22" t="inlineStr">
        <is>
          <t>Choisir le nouveau prix d'un sac de mil de 16 000 FCFA après une augmentation de 15 %</t>
        </is>
      </c>
    </row>
    <row r="90">
      <c r="A90" s="20" t="inlineStr">
        <is>
          <t>4eme</t>
        </is>
      </c>
      <c r="B90" s="21" t="inlineStr">
        <is>
          <t>N8</t>
        </is>
      </c>
      <c r="C90" s="21" t="inlineStr">
        <is>
          <t>B</t>
        </is>
      </c>
      <c r="D90" s="21" t="n">
        <v>2</v>
      </c>
      <c r="E90" s="20" t="inlineStr">
        <is>
          <t>rédigé</t>
        </is>
      </c>
      <c r="F90" s="20" t="inlineStr">
        <is>
          <t>N-a</t>
        </is>
      </c>
      <c r="G90" s="20" t="inlineStr">
        <is>
          <t>N.DIVIS</t>
        </is>
      </c>
      <c r="H90" s="20" t="n"/>
      <c r="I90" s="20" t="inlineStr">
        <is>
          <t>Trouver tous les chiffres a tels que 24a soit divisible par 2 et par 3, en justifiant</t>
        </is>
      </c>
    </row>
    <row r="91">
      <c r="A91" s="22" t="inlineStr">
        <is>
          <t>4eme</t>
        </is>
      </c>
      <c r="B91" s="23" t="inlineStr">
        <is>
          <t>N9</t>
        </is>
      </c>
      <c r="C91" s="23" t="inlineStr">
        <is>
          <t>B</t>
        </is>
      </c>
      <c r="D91" s="23" t="n">
        <v>2</v>
      </c>
      <c r="E91" s="22" t="inlineStr">
        <is>
          <t>rédigé</t>
        </is>
      </c>
      <c r="F91" s="22" t="inlineStr">
        <is>
          <t>N-c</t>
        </is>
      </c>
      <c r="G91" s="22" t="inlineStr">
        <is>
          <t>N.FRA2</t>
        </is>
      </c>
      <c r="H91" s="22" t="n"/>
      <c r="I91" s="22" t="inlineStr">
        <is>
          <t>Retrouver la somme dont les 9/20 valent 1 800 FCFA, puis juger si plus de la moitié est dépensée</t>
        </is>
      </c>
    </row>
    <row r="92">
      <c r="A92" s="20" t="inlineStr">
        <is>
          <t>4eme</t>
        </is>
      </c>
      <c r="B92" s="21" t="inlineStr">
        <is>
          <t>N10</t>
        </is>
      </c>
      <c r="C92" s="21" t="inlineStr">
        <is>
          <t>B</t>
        </is>
      </c>
      <c r="D92" s="21" t="n">
        <v>2</v>
      </c>
      <c r="E92" s="20" t="inlineStr">
        <is>
          <t>rédigé</t>
        </is>
      </c>
      <c r="F92" s="20" t="inlineStr">
        <is>
          <t>N-f</t>
        </is>
      </c>
      <c r="G92" s="20" t="inlineStr">
        <is>
          <t>N.PUI</t>
        </is>
      </c>
      <c r="H92" s="20" t="n"/>
      <c r="I92" s="20" t="inlineStr">
        <is>
          <t>Trouver n tel que 2ⁿ = 64, puis justifier qu'aucun entier p ne vérifie 2ᵖ = 100</t>
        </is>
      </c>
    </row>
    <row r="93">
      <c r="A93" s="22" t="inlineStr">
        <is>
          <t>4eme</t>
        </is>
      </c>
      <c r="B93" s="23" t="inlineStr">
        <is>
          <t>N11</t>
        </is>
      </c>
      <c r="C93" s="23" t="inlineStr">
        <is>
          <t>B</t>
        </is>
      </c>
      <c r="D93" s="23" t="n">
        <v>2</v>
      </c>
      <c r="E93" s="22" t="inlineStr">
        <is>
          <t>rédigé</t>
        </is>
      </c>
      <c r="F93" s="22" t="inlineStr">
        <is>
          <t>N-d</t>
        </is>
      </c>
      <c r="G93" s="22" t="inlineStr">
        <is>
          <t>N.RELOP</t>
        </is>
      </c>
      <c r="H93" s="22" t="n"/>
      <c r="I93" s="22" t="inlineStr">
        <is>
          <t>Retrouver le solde avant un versement de 35 000 FCFA qui le porte à -8 500 FCFA, puis juger Drissa</t>
        </is>
      </c>
    </row>
    <row r="94">
      <c r="A94" s="20" t="inlineStr">
        <is>
          <t>4eme</t>
        </is>
      </c>
      <c r="B94" s="21" t="inlineStr">
        <is>
          <t>N12</t>
        </is>
      </c>
      <c r="C94" s="21" t="inlineStr">
        <is>
          <t>B</t>
        </is>
      </c>
      <c r="D94" s="21" t="n">
        <v>2</v>
      </c>
      <c r="E94" s="20" t="inlineStr">
        <is>
          <t>rédigé</t>
        </is>
      </c>
      <c r="F94" s="20" t="inlineStr">
        <is>
          <t>N-e</t>
        </is>
      </c>
      <c r="G94" s="20" t="inlineStr">
        <is>
          <t>L.DEV1</t>
        </is>
      </c>
      <c r="H94" s="20" t="n"/>
      <c r="I94" s="20" t="inlineStr">
        <is>
          <t>Développer l'aire 7(x + 4) m² d'une parcelle de Sapone et juger la réponse 7x + 4 de Safiatou</t>
        </is>
      </c>
    </row>
    <row r="95">
      <c r="A95" s="22" t="inlineStr">
        <is>
          <t>4eme</t>
        </is>
      </c>
      <c r="B95" s="23" t="inlineStr">
        <is>
          <t>L3</t>
        </is>
      </c>
      <c r="C95" s="23" t="inlineStr">
        <is>
          <t>B</t>
        </is>
      </c>
      <c r="D95" s="23" t="n">
        <v>2</v>
      </c>
      <c r="E95" s="22" t="inlineStr">
        <is>
          <t>rédigé</t>
        </is>
      </c>
      <c r="F95" s="22" t="inlineStr">
        <is>
          <t>L-b</t>
        </is>
      </c>
      <c r="G95" s="22" t="inlineStr">
        <is>
          <t>L.EQD</t>
        </is>
      </c>
      <c r="H95" s="22" t="n"/>
      <c r="I95" s="22" t="inlineStr">
        <is>
          <t>Mettre en équation (x pintades, Awa le triple diminué de 7, total 61) puis résoudre dans D</t>
        </is>
      </c>
    </row>
    <row r="96">
      <c r="A96" s="20" t="inlineStr">
        <is>
          <t>4eme</t>
        </is>
      </c>
      <c r="B96" s="21" t="inlineStr">
        <is>
          <t>G5</t>
        </is>
      </c>
      <c r="C96" s="21" t="inlineStr">
        <is>
          <t>B</t>
        </is>
      </c>
      <c r="D96" s="21" t="n">
        <v>2</v>
      </c>
      <c r="E96" s="20" t="inlineStr">
        <is>
          <t>construction</t>
        </is>
      </c>
      <c r="F96" s="20" t="inlineStr">
        <is>
          <t>G-a</t>
        </is>
      </c>
      <c r="G96" s="20" t="inlineStr">
        <is>
          <t>G.SYMC</t>
        </is>
      </c>
      <c r="H96" s="20" t="n"/>
      <c r="I96" s="20" t="inlineStr">
        <is>
          <t>Calculer OA si B est le symétrique de A par rapport à O et AB = 9 cm, puis construire la figure</t>
        </is>
      </c>
    </row>
    <row r="97">
      <c r="A97" s="22" t="inlineStr">
        <is>
          <t>4eme</t>
        </is>
      </c>
      <c r="B97" s="23" t="inlineStr">
        <is>
          <t>G6</t>
        </is>
      </c>
      <c r="C97" s="23" t="inlineStr">
        <is>
          <t>B</t>
        </is>
      </c>
      <c r="D97" s="23" t="n">
        <v>2</v>
      </c>
      <c r="E97" s="22" t="inlineStr">
        <is>
          <t>rédigé</t>
        </is>
      </c>
      <c r="F97" s="22" t="inlineStr">
        <is>
          <t>G-b</t>
        </is>
      </c>
      <c r="G97" s="22" t="inlineStr">
        <is>
          <t>G.ANG3</t>
        </is>
      </c>
      <c r="H97" s="22" t="n"/>
      <c r="I97" s="22" t="inlineStr">
        <is>
          <t>Trouver l'angle EFy alterne-interne de xEF = 73° qui rend (d) et (d') parallèles, puis discuter 107°</t>
        </is>
      </c>
    </row>
    <row r="98">
      <c r="A98" s="20" t="inlineStr">
        <is>
          <t>4eme</t>
        </is>
      </c>
      <c r="B98" s="21" t="inlineStr">
        <is>
          <t>G7</t>
        </is>
      </c>
      <c r="C98" s="21" t="inlineStr">
        <is>
          <t>B</t>
        </is>
      </c>
      <c r="D98" s="21" t="n">
        <v>2</v>
      </c>
      <c r="E98" s="20" t="inlineStr">
        <is>
          <t>rédigé</t>
        </is>
      </c>
      <c r="F98" s="20" t="inlineStr">
        <is>
          <t>G-c</t>
        </is>
      </c>
      <c r="G98" s="20" t="inlineStr">
        <is>
          <t>G.TRIP</t>
        </is>
      </c>
      <c r="H98" s="20" t="n"/>
      <c r="I98" s="20" t="inlineStr">
        <is>
          <t>Calculer l'angle BAD (bissectrice) dans ABC où B = 50°, C = 80°, juger si (AD) est la médiatrice</t>
        </is>
      </c>
    </row>
    <row r="99">
      <c r="A99" s="22" t="inlineStr">
        <is>
          <t>4eme</t>
        </is>
      </c>
      <c r="B99" s="23" t="inlineStr">
        <is>
          <t>G8</t>
        </is>
      </c>
      <c r="C99" s="23" t="inlineStr">
        <is>
          <t>B</t>
        </is>
      </c>
      <c r="D99" s="23" t="n">
        <v>2</v>
      </c>
      <c r="E99" s="22" t="inlineStr">
        <is>
          <t>rédigé</t>
        </is>
      </c>
      <c r="F99" s="22" t="inlineStr">
        <is>
          <t>G-d</t>
        </is>
      </c>
      <c r="G99" s="22" t="inlineStr">
        <is>
          <t>M.VOL</t>
        </is>
      </c>
      <c r="H99" s="22" t="n"/>
      <c r="I99" s="22" t="inlineStr">
        <is>
          <t>Calculer la hauteur d'un cylindre (r = 2 m, V = 50,24 m³, π = 3,14) et juger le doublement du rayon</t>
        </is>
      </c>
    </row>
    <row r="100">
      <c r="A100" s="20" t="inlineStr">
        <is>
          <t>4eme</t>
        </is>
      </c>
      <c r="B100" s="21" t="inlineStr">
        <is>
          <t>D2</t>
        </is>
      </c>
      <c r="C100" s="21" t="inlineStr">
        <is>
          <t>B</t>
        </is>
      </c>
      <c r="D100" s="21" t="n">
        <v>2</v>
      </c>
      <c r="E100" s="20" t="inlineStr">
        <is>
          <t>rédigé</t>
        </is>
      </c>
      <c r="F100" s="20" t="inlineStr">
        <is>
          <t>D-a</t>
        </is>
      </c>
      <c r="G100" s="20" t="inlineStr">
        <is>
          <t>D.POUR</t>
        </is>
      </c>
      <c r="H100" s="20" t="n"/>
      <c r="I100" s="20" t="inlineStr">
        <is>
          <t>Retrouver le prix d'un vélo avant une remise de 15 % (payé 51 000 FCFA) et juger le vendeur</t>
        </is>
      </c>
    </row>
    <row r="101">
      <c r="A101" s="22" t="inlineStr">
        <is>
          <t>4eme</t>
        </is>
      </c>
      <c r="B101" s="23" t="inlineStr">
        <is>
          <t>P1.1</t>
        </is>
      </c>
      <c r="C101" s="23" t="inlineStr">
        <is>
          <t>C</t>
        </is>
      </c>
      <c r="D101" s="23" t="n">
        <v>2</v>
      </c>
      <c r="E101" s="22" t="inlineStr">
        <is>
          <t>rédigé</t>
        </is>
      </c>
      <c r="F101" s="22" t="inlineStr">
        <is>
          <t>M-a</t>
        </is>
      </c>
      <c r="G101" s="22" t="inlineStr">
        <is>
          <t>M.MVD</t>
        </is>
      </c>
      <c r="H101" s="22" t="n"/>
      <c r="I101" s="22" t="inlineStr">
        <is>
          <t>Calculer la durée d'un trajet de 360 km à 80 km/h et l'heure d'arrivée (départ à 6 h)</t>
        </is>
      </c>
    </row>
    <row r="102">
      <c r="A102" s="20" t="inlineStr">
        <is>
          <t>4eme</t>
        </is>
      </c>
      <c r="B102" s="21" t="inlineStr">
        <is>
          <t>P1.2</t>
        </is>
      </c>
      <c r="C102" s="21" t="inlineStr">
        <is>
          <t>C</t>
        </is>
      </c>
      <c r="D102" s="21" t="n">
        <v>2</v>
      </c>
      <c r="E102" s="20" t="inlineStr">
        <is>
          <t>rédigé</t>
        </is>
      </c>
      <c r="F102" s="20" t="inlineStr">
        <is>
          <t>N-g</t>
        </is>
      </c>
      <c r="G102" s="20" t="inlineStr">
        <is>
          <t>N.VAB</t>
        </is>
      </c>
      <c r="H102" s="20" t="inlineStr">
        <is>
          <t>N.RELOP</t>
        </is>
      </c>
      <c r="I102" s="20" t="inlineStr">
        <is>
          <t>Calculer l'écart à -15 degrés des relevés -16 ; -13 et -19 degrés</t>
        </is>
      </c>
    </row>
    <row r="103">
      <c r="A103" s="22" t="inlineStr">
        <is>
          <t>4eme</t>
        </is>
      </c>
      <c r="B103" s="23" t="inlineStr">
        <is>
          <t>P1.3</t>
        </is>
      </c>
      <c r="C103" s="23" t="inlineStr">
        <is>
          <t>C</t>
        </is>
      </c>
      <c r="D103" s="23" t="n">
        <v>3</v>
      </c>
      <c r="E103" s="22" t="inlineStr">
        <is>
          <t>rédigé</t>
        </is>
      </c>
      <c r="F103" s="22" t="inlineStr">
        <is>
          <t>N-g</t>
        </is>
      </c>
      <c r="G103" s="22" t="inlineStr">
        <is>
          <t>N.VAB</t>
        </is>
      </c>
      <c r="H103" s="22" t="n"/>
      <c r="I103" s="22" t="inlineStr">
        <is>
          <t>Désigner le relevé dont l'écart à -15 dépasse 3 degrés et conclure sur la température imposée</t>
        </is>
      </c>
    </row>
    <row r="104">
      <c r="A104" s="20" t="inlineStr">
        <is>
          <t>4eme</t>
        </is>
      </c>
      <c r="B104" s="21" t="inlineStr">
        <is>
          <t>P2.1</t>
        </is>
      </c>
      <c r="C104" s="21" t="inlineStr">
        <is>
          <t>C</t>
        </is>
      </c>
      <c r="D104" s="21" t="n">
        <v>2</v>
      </c>
      <c r="E104" s="20" t="inlineStr">
        <is>
          <t>rédigé</t>
        </is>
      </c>
      <c r="F104" s="20" t="inlineStr">
        <is>
          <t>L-b</t>
        </is>
      </c>
      <c r="G104" s="20" t="inlineStr">
        <is>
          <t>L.EQD</t>
        </is>
      </c>
      <c r="H104" s="20" t="n"/>
      <c r="I104" s="20" t="inlineStr">
        <is>
          <t>Mettre en équation : x sacs à 5 000 FCFA, transport de 3 000 FCFA, recette visée 32 000 FCFA</t>
        </is>
      </c>
    </row>
    <row r="105">
      <c r="A105" s="22" t="inlineStr">
        <is>
          <t>4eme</t>
        </is>
      </c>
      <c r="B105" s="23" t="inlineStr">
        <is>
          <t>P2.2</t>
        </is>
      </c>
      <c r="C105" s="23" t="inlineStr">
        <is>
          <t>C</t>
        </is>
      </c>
      <c r="D105" s="23" t="n">
        <v>2</v>
      </c>
      <c r="E105" s="22" t="inlineStr">
        <is>
          <t>rédigé</t>
        </is>
      </c>
      <c r="F105" s="22" t="inlineStr">
        <is>
          <t>L-a</t>
        </is>
      </c>
      <c r="G105" s="22" t="inlineStr">
        <is>
          <t>L.EGA</t>
        </is>
      </c>
      <c r="H105" s="22" t="inlineStr">
        <is>
          <t>L.EQD</t>
        </is>
      </c>
      <c r="I105" s="22" t="inlineStr">
        <is>
          <t>Nommer l'opération menant à 5 000x = 35 000, puis résoudre 5 000x - 3 000 = 32 000 dans D</t>
        </is>
      </c>
    </row>
    <row r="106">
      <c r="A106" s="20" t="inlineStr">
        <is>
          <t>4eme</t>
        </is>
      </c>
      <c r="B106" s="21" t="inlineStr">
        <is>
          <t>P2.3</t>
        </is>
      </c>
      <c r="C106" s="21" t="inlineStr">
        <is>
          <t>C</t>
        </is>
      </c>
      <c r="D106" s="21" t="n">
        <v>3</v>
      </c>
      <c r="E106" s="20" t="inlineStr">
        <is>
          <t>rédigé</t>
        </is>
      </c>
      <c r="F106" s="20" t="inlineStr">
        <is>
          <t>D-a</t>
        </is>
      </c>
      <c r="G106" s="20" t="inlineStr">
        <is>
          <t>D.POUR</t>
        </is>
      </c>
      <c r="H106" s="20" t="n"/>
      <c r="I106" s="20" t="inlineStr">
        <is>
          <t>Juger si 6 sacs vendus 20 % plus cher que 5 000 FCFA donnent 32 000 FCFA, transport payé</t>
        </is>
      </c>
    </row>
    <row r="107">
      <c r="A107" s="22" t="inlineStr">
        <is>
          <t>4eme</t>
        </is>
      </c>
      <c r="B107" s="23" t="inlineStr">
        <is>
          <t>P3.1</t>
        </is>
      </c>
      <c r="C107" s="23" t="inlineStr">
        <is>
          <t>C</t>
        </is>
      </c>
      <c r="D107" s="23" t="n">
        <v>2</v>
      </c>
      <c r="E107" s="22" t="inlineStr">
        <is>
          <t>rédigé</t>
        </is>
      </c>
      <c r="F107" s="22" t="inlineStr">
        <is>
          <t>M-b</t>
        </is>
      </c>
      <c r="G107" s="22" t="inlineStr">
        <is>
          <t>M.ECH</t>
        </is>
      </c>
      <c r="H107" s="22" t="n"/>
      <c r="I107" s="22" t="inlineStr">
        <is>
          <t>Calculer en mètres les dimensions réelles d'un champ de 9 cm sur 6 cm sur un plan au 1/500</t>
        </is>
      </c>
    </row>
    <row r="108">
      <c r="A108" s="20" t="inlineStr">
        <is>
          <t>4eme</t>
        </is>
      </c>
      <c r="B108" s="21" t="inlineStr">
        <is>
          <t>P3.2</t>
        </is>
      </c>
      <c r="C108" s="21" t="inlineStr">
        <is>
          <t>C</t>
        </is>
      </c>
      <c r="D108" s="21" t="n">
        <v>3</v>
      </c>
      <c r="E108" s="20" t="inlineStr">
        <is>
          <t>rédigé</t>
        </is>
      </c>
      <c r="F108" s="20" t="inlineStr">
        <is>
          <t>N-b</t>
        </is>
      </c>
      <c r="G108" s="20" t="inlineStr">
        <is>
          <t>N.PGCD</t>
        </is>
      </c>
      <c r="H108" s="20" t="inlineStr">
        <is>
          <t>N.DIVIS</t>
        </is>
      </c>
      <c r="I108" s="20" t="inlineStr">
        <is>
          <t>Partager un champ de 45 m sur 30 m en carrés les plus grands possibles : côté puis nombre de carrés</t>
        </is>
      </c>
    </row>
    <row r="109">
      <c r="A109" s="22" t="inlineStr">
        <is>
          <t>4eme</t>
        </is>
      </c>
      <c r="B109" s="23" t="inlineStr">
        <is>
          <t>P3.3</t>
        </is>
      </c>
      <c r="C109" s="23" t="inlineStr">
        <is>
          <t>C</t>
        </is>
      </c>
      <c r="D109" s="23" t="n">
        <v>3</v>
      </c>
      <c r="E109" s="22" t="inlineStr">
        <is>
          <t>rédigé</t>
        </is>
      </c>
      <c r="F109" s="22" t="inlineStr">
        <is>
          <t>D-a</t>
        </is>
      </c>
      <c r="G109" s="22" t="inlineStr">
        <is>
          <t>D.PROP</t>
        </is>
      </c>
      <c r="H109" s="22" t="n"/>
      <c r="I109" s="22" t="inlineStr">
        <is>
          <t>Calculer le coût du grillage (1 200 FCFA/m) d'un champ de 45 m sur 30 m, juger un budget de 200 000</t>
        </is>
      </c>
    </row>
    <row r="110">
      <c r="A110" s="20" t="inlineStr">
        <is>
          <t>3eme</t>
        </is>
      </c>
      <c r="B110" s="21" t="inlineStr">
        <is>
          <t>N1</t>
        </is>
      </c>
      <c r="C110" s="21" t="inlineStr">
        <is>
          <t>A</t>
        </is>
      </c>
      <c r="D110" s="21" t="n">
        <v>1</v>
      </c>
      <c r="E110" s="20" t="inlineStr">
        <is>
          <t>court</t>
        </is>
      </c>
      <c r="F110" s="20" t="inlineStr">
        <is>
          <t>N-a</t>
        </is>
      </c>
      <c r="G110" s="20" t="inlineStr">
        <is>
          <t>N.ENS</t>
        </is>
      </c>
      <c r="H110" s="20" t="n"/>
      <c r="I110" s="20" t="inlineStr">
        <is>
          <t>Ecrire lequel de -20/4 ; 5/6 ; 3,75 ; 7/2 appartient à ℤ</t>
        </is>
      </c>
    </row>
    <row r="111">
      <c r="A111" s="22" t="inlineStr">
        <is>
          <t>3eme</t>
        </is>
      </c>
      <c r="B111" s="23" t="inlineStr">
        <is>
          <t>N2</t>
        </is>
      </c>
      <c r="C111" s="23" t="inlineStr">
        <is>
          <t>A</t>
        </is>
      </c>
      <c r="D111" s="23" t="n">
        <v>1</v>
      </c>
      <c r="E111" s="22" t="inlineStr">
        <is>
          <t>court</t>
        </is>
      </c>
      <c r="F111" s="22" t="inlineStr">
        <is>
          <t>N-b</t>
        </is>
      </c>
      <c r="G111" s="22" t="inlineStr">
        <is>
          <t>N.SCI</t>
        </is>
      </c>
      <c r="H111" s="22" t="n"/>
      <c r="I111" s="22" t="inlineStr">
        <is>
          <t>Ecrire 0,0000605 en écriture scientifique</t>
        </is>
      </c>
    </row>
    <row r="112">
      <c r="A112" s="20" t="inlineStr">
        <is>
          <t>3eme</t>
        </is>
      </c>
      <c r="B112" s="21" t="inlineStr">
        <is>
          <t>N3</t>
        </is>
      </c>
      <c r="C112" s="21" t="inlineStr">
        <is>
          <t>A</t>
        </is>
      </c>
      <c r="D112" s="21" t="n">
        <v>1</v>
      </c>
      <c r="E112" s="20" t="inlineStr">
        <is>
          <t>qcm</t>
        </is>
      </c>
      <c r="F112" s="20" t="inlineStr">
        <is>
          <t>N-d</t>
        </is>
      </c>
      <c r="G112" s="20" t="inlineStr">
        <is>
          <t>N.APP</t>
        </is>
      </c>
      <c r="H112" s="20" t="n"/>
      <c r="I112" s="20" t="inlineStr">
        <is>
          <t>Choisir l'approximation décimale par excès à 10⁻¹ près de 47/6 (QCM)</t>
        </is>
      </c>
    </row>
    <row r="113">
      <c r="A113" s="22" t="inlineStr">
        <is>
          <t>3eme</t>
        </is>
      </c>
      <c r="B113" s="23" t="inlineStr">
        <is>
          <t>N4</t>
        </is>
      </c>
      <c r="C113" s="23" t="inlineStr">
        <is>
          <t>A</t>
        </is>
      </c>
      <c r="D113" s="23" t="n">
        <v>1</v>
      </c>
      <c r="E113" s="22" t="inlineStr">
        <is>
          <t>qcm</t>
        </is>
      </c>
      <c r="F113" s="22" t="inlineStr">
        <is>
          <t>N-c</t>
        </is>
      </c>
      <c r="G113" s="22" t="inlineStr">
        <is>
          <t>N.RAT</t>
        </is>
      </c>
      <c r="H113" s="22" t="n"/>
      <c r="I113" s="22" t="inlineStr">
        <is>
          <t>Choisir la valeur du quotient (-7/4) ÷ (21/8) (QCM)</t>
        </is>
      </c>
    </row>
    <row r="114">
      <c r="A114" s="20" t="inlineStr">
        <is>
          <t>3eme</t>
        </is>
      </c>
      <c r="B114" s="21" t="inlineStr">
        <is>
          <t>L1</t>
        </is>
      </c>
      <c r="C114" s="21" t="inlineStr">
        <is>
          <t>A</t>
        </is>
      </c>
      <c r="D114" s="21" t="n">
        <v>1</v>
      </c>
      <c r="E114" s="20" t="inlineStr">
        <is>
          <t>court</t>
        </is>
      </c>
      <c r="F114" s="20" t="inlineStr">
        <is>
          <t>L-a</t>
        </is>
      </c>
      <c r="G114" s="20" t="inlineStr">
        <is>
          <t>L.DEV1</t>
        </is>
      </c>
      <c r="H114" s="20" t="n"/>
      <c r="I114" s="20" t="inlineStr">
        <is>
          <t>Développer et réduire (2x + 5)(3x - 1)</t>
        </is>
      </c>
    </row>
    <row r="115">
      <c r="A115" s="22" t="inlineStr">
        <is>
          <t>3eme</t>
        </is>
      </c>
      <c r="B115" s="23" t="inlineStr">
        <is>
          <t>L2</t>
        </is>
      </c>
      <c r="C115" s="23" t="inlineStr">
        <is>
          <t>A</t>
        </is>
      </c>
      <c r="D115" s="23" t="n">
        <v>1</v>
      </c>
      <c r="E115" s="22" t="inlineStr">
        <is>
          <t>court</t>
        </is>
      </c>
      <c r="F115" s="22" t="inlineStr">
        <is>
          <t>L-b</t>
        </is>
      </c>
      <c r="G115" s="22" t="inlineStr">
        <is>
          <t>L.FAC1</t>
        </is>
      </c>
      <c r="H115" s="22" t="n"/>
      <c r="I115" s="22" t="inlineStr">
        <is>
          <t>Factoriser (x - 3)(2x + 1) + (x - 3)(x + 4)</t>
        </is>
      </c>
    </row>
    <row r="116">
      <c r="A116" s="20" t="inlineStr">
        <is>
          <t>3eme</t>
        </is>
      </c>
      <c r="B116" s="21" t="inlineStr">
        <is>
          <t>L3</t>
        </is>
      </c>
      <c r="C116" s="21" t="inlineStr">
        <is>
          <t>A</t>
        </is>
      </c>
      <c r="D116" s="21" t="n">
        <v>1</v>
      </c>
      <c r="E116" s="20" t="inlineStr">
        <is>
          <t>court</t>
        </is>
      </c>
      <c r="F116" s="20" t="inlineStr">
        <is>
          <t>L-c</t>
        </is>
      </c>
      <c r="G116" s="20" t="inlineStr">
        <is>
          <t>L.EQ1</t>
        </is>
      </c>
      <c r="H116" s="20" t="n"/>
      <c r="I116" s="20" t="inlineStr">
        <is>
          <t>Résoudre dans ℝ l'équation 7 - 2x = 5x + 28</t>
        </is>
      </c>
    </row>
    <row r="117">
      <c r="A117" s="22" t="inlineStr">
        <is>
          <t>3eme</t>
        </is>
      </c>
      <c r="B117" s="23" t="inlineStr">
        <is>
          <t>L4</t>
        </is>
      </c>
      <c r="C117" s="23" t="inlineStr">
        <is>
          <t>A</t>
        </is>
      </c>
      <c r="D117" s="23" t="n">
        <v>1</v>
      </c>
      <c r="E117" s="22" t="inlineStr">
        <is>
          <t>court</t>
        </is>
      </c>
      <c r="F117" s="22" t="inlineStr">
        <is>
          <t>L-d</t>
        </is>
      </c>
      <c r="G117" s="22" t="inlineStr">
        <is>
          <t>L.INEQ1</t>
        </is>
      </c>
      <c r="H117" s="22" t="n"/>
      <c r="I117" s="22" t="inlineStr">
        <is>
          <t>Résoudre dans ℝ l'inéquation -3x + 2 &gt; 11</t>
        </is>
      </c>
    </row>
    <row r="118">
      <c r="A118" s="20" t="inlineStr">
        <is>
          <t>3eme</t>
        </is>
      </c>
      <c r="B118" s="21" t="inlineStr">
        <is>
          <t>G1</t>
        </is>
      </c>
      <c r="C118" s="21" t="inlineStr">
        <is>
          <t>A</t>
        </is>
      </c>
      <c r="D118" s="21" t="n">
        <v>1</v>
      </c>
      <c r="E118" s="20" t="inlineStr">
        <is>
          <t>court</t>
        </is>
      </c>
      <c r="F118" s="20" t="inlineStr">
        <is>
          <t>G-a</t>
        </is>
      </c>
      <c r="G118" s="20" t="inlineStr">
        <is>
          <t>G.ABS</t>
        </is>
      </c>
      <c r="H118" s="20" t="n"/>
      <c r="I118" s="20" t="inlineStr">
        <is>
          <t>Calculer la distance CD sur une droite graduée, C d'abscisse -4 et D d'abscisse -11</t>
        </is>
      </c>
    </row>
    <row r="119">
      <c r="A119" s="22" t="inlineStr">
        <is>
          <t>3eme</t>
        </is>
      </c>
      <c r="B119" s="23" t="inlineStr">
        <is>
          <t>G2</t>
        </is>
      </c>
      <c r="C119" s="23" t="inlineStr">
        <is>
          <t>A</t>
        </is>
      </c>
      <c r="D119" s="23" t="n">
        <v>1</v>
      </c>
      <c r="E119" s="22" t="inlineStr">
        <is>
          <t>qcm</t>
        </is>
      </c>
      <c r="F119" s="22" t="inlineStr">
        <is>
          <t>G-c</t>
        </is>
      </c>
      <c r="G119" s="22" t="inlineStr">
        <is>
          <t>G.VEC</t>
        </is>
      </c>
      <c r="H119" s="22" t="n"/>
      <c r="I119" s="22" t="inlineStr">
        <is>
          <t>Choisir le vecteur égal à la somme vecteur MN + vecteur PM (QCM)</t>
        </is>
      </c>
    </row>
    <row r="120">
      <c r="A120" s="20" t="inlineStr">
        <is>
          <t>3eme</t>
        </is>
      </c>
      <c r="B120" s="21" t="inlineStr">
        <is>
          <t>G3</t>
        </is>
      </c>
      <c r="C120" s="21" t="inlineStr">
        <is>
          <t>A</t>
        </is>
      </c>
      <c r="D120" s="21" t="n">
        <v>1</v>
      </c>
      <c r="E120" s="20" t="inlineStr">
        <is>
          <t>court</t>
        </is>
      </c>
      <c r="F120" s="20" t="inlineStr">
        <is>
          <t>G-b</t>
        </is>
      </c>
      <c r="G120" s="20" t="inlineStr">
        <is>
          <t>G.REP</t>
        </is>
      </c>
      <c r="H120" s="20" t="n"/>
      <c r="I120" s="20" t="inlineStr">
        <is>
          <t>Donner les coordonnées du milieu K de [EF] avec E(-5 ; 3) et F(1 ; -7)</t>
        </is>
      </c>
    </row>
    <row r="121">
      <c r="A121" s="22" t="inlineStr">
        <is>
          <t>3eme</t>
        </is>
      </c>
      <c r="B121" s="23" t="inlineStr">
        <is>
          <t>G4</t>
        </is>
      </c>
      <c r="C121" s="23" t="inlineStr">
        <is>
          <t>A</t>
        </is>
      </c>
      <c r="D121" s="23" t="n">
        <v>1</v>
      </c>
      <c r="E121" s="22" t="inlineStr">
        <is>
          <t>court</t>
        </is>
      </c>
      <c r="F121" s="22" t="inlineStr">
        <is>
          <t>G-e</t>
        </is>
      </c>
      <c r="G121" s="22" t="inlineStr">
        <is>
          <t>G.TRANS</t>
        </is>
      </c>
      <c r="H121" s="22" t="inlineStr">
        <is>
          <t>G.VEC</t>
        </is>
      </c>
      <c r="I121" s="22" t="inlineStr">
        <is>
          <t>Donner l'image de B par la translation qui transforme A en D, ABCD parallélogramme</t>
        </is>
      </c>
    </row>
    <row r="122">
      <c r="A122" s="20" t="inlineStr">
        <is>
          <t>3eme</t>
        </is>
      </c>
      <c r="B122" s="21" t="inlineStr">
        <is>
          <t>G5</t>
        </is>
      </c>
      <c r="C122" s="21" t="inlineStr">
        <is>
          <t>A</t>
        </is>
      </c>
      <c r="D122" s="21" t="n">
        <v>1</v>
      </c>
      <c r="E122" s="20" t="inlineStr">
        <is>
          <t>court</t>
        </is>
      </c>
      <c r="F122" s="20" t="inlineStr">
        <is>
          <t>G-d</t>
        </is>
      </c>
      <c r="G122" s="20" t="inlineStr">
        <is>
          <t>G.PROJ</t>
        </is>
      </c>
      <c r="H122" s="20" t="n"/>
      <c r="I122" s="20" t="inlineStr">
        <is>
          <t>Calculer BC sachant que I, J milieux de [AB], [AC] et IJ = 3,6 cm</t>
        </is>
      </c>
    </row>
    <row r="123">
      <c r="A123" s="22" t="inlineStr">
        <is>
          <t>3eme</t>
        </is>
      </c>
      <c r="B123" s="23" t="inlineStr">
        <is>
          <t>G6</t>
        </is>
      </c>
      <c r="C123" s="23" t="inlineStr">
        <is>
          <t>A</t>
        </is>
      </c>
      <c r="D123" s="23" t="n">
        <v>1</v>
      </c>
      <c r="E123" s="22" t="inlineStr">
        <is>
          <t>qcm</t>
        </is>
      </c>
      <c r="F123" s="22" t="inlineStr">
        <is>
          <t>G-f</t>
        </is>
      </c>
      <c r="G123" s="22" t="inlineStr">
        <is>
          <t>G.POLY</t>
        </is>
      </c>
      <c r="H123" s="22" t="n"/>
      <c r="I123" s="22" t="inlineStr">
        <is>
          <t>Choisir le volume d'une pyramide de hauteur 10 cm à base carrée de 6 cm (QCM)</t>
        </is>
      </c>
    </row>
    <row r="124">
      <c r="A124" s="20" t="inlineStr">
        <is>
          <t>3eme</t>
        </is>
      </c>
      <c r="B124" s="21" t="inlineStr">
        <is>
          <t>D1</t>
        </is>
      </c>
      <c r="C124" s="21" t="inlineStr">
        <is>
          <t>A</t>
        </is>
      </c>
      <c r="D124" s="21" t="n">
        <v>1</v>
      </c>
      <c r="E124" s="20" t="inlineStr">
        <is>
          <t>court</t>
        </is>
      </c>
      <c r="F124" s="20" t="inlineStr">
        <is>
          <t>D-a</t>
        </is>
      </c>
      <c r="G124" s="20" t="inlineStr">
        <is>
          <t>D.STAT1</t>
        </is>
      </c>
      <c r="H124" s="20" t="n"/>
      <c r="I124" s="20" t="inlineStr">
        <is>
          <t>Calculer la moyenne de la série de notes 7 ; 12 ; 9 ; 16 ; 11</t>
        </is>
      </c>
    </row>
    <row r="125">
      <c r="A125" s="22" t="inlineStr">
        <is>
          <t>3eme</t>
        </is>
      </c>
      <c r="B125" s="23" t="inlineStr">
        <is>
          <t>D2</t>
        </is>
      </c>
      <c r="C125" s="23" t="inlineStr">
        <is>
          <t>A</t>
        </is>
      </c>
      <c r="D125" s="23" t="n">
        <v>1</v>
      </c>
      <c r="E125" s="22" t="inlineStr">
        <is>
          <t>qcm</t>
        </is>
      </c>
      <c r="F125" s="22" t="inlineStr">
        <is>
          <t>D-b</t>
        </is>
      </c>
      <c r="G125" s="22" t="inlineStr">
        <is>
          <t>M.ECH</t>
        </is>
      </c>
      <c r="H125" s="22" t="n"/>
      <c r="I125" s="22" t="inlineStr">
        <is>
          <t>Choisir la longueur réelle d'un champ de 7 cm sur un plan au 1/2 000 (QCM)</t>
        </is>
      </c>
    </row>
    <row r="126">
      <c r="A126" s="20" t="inlineStr">
        <is>
          <t>3eme</t>
        </is>
      </c>
      <c r="B126" s="21" t="inlineStr">
        <is>
          <t>N5</t>
        </is>
      </c>
      <c r="C126" s="21" t="inlineStr">
        <is>
          <t>B</t>
        </is>
      </c>
      <c r="D126" s="21" t="n">
        <v>2</v>
      </c>
      <c r="E126" s="20" t="inlineStr">
        <is>
          <t>rédigé</t>
        </is>
      </c>
      <c r="F126" s="20" t="inlineStr">
        <is>
          <t>N-b</t>
        </is>
      </c>
      <c r="G126" s="20" t="inlineStr">
        <is>
          <t>N.SCI</t>
        </is>
      </c>
      <c r="H126" s="20" t="n"/>
      <c r="I126" s="20" t="inlineStr">
        <is>
          <t>Diviser 2,4 × 10⁹ L par 8 × 10⁵ L (barrage de Bagré), juger « plus de 10 000 parcelles »</t>
        </is>
      </c>
    </row>
    <row r="127">
      <c r="A127" s="22" t="inlineStr">
        <is>
          <t>3eme</t>
        </is>
      </c>
      <c r="B127" s="23" t="inlineStr">
        <is>
          <t>N6</t>
        </is>
      </c>
      <c r="C127" s="23" t="inlineStr">
        <is>
          <t>B</t>
        </is>
      </c>
      <c r="D127" s="23" t="n">
        <v>2</v>
      </c>
      <c r="E127" s="22" t="inlineStr">
        <is>
          <t>rédigé</t>
        </is>
      </c>
      <c r="F127" s="22" t="inlineStr">
        <is>
          <t>N-c</t>
        </is>
      </c>
      <c r="G127" s="22" t="inlineStr">
        <is>
          <t>N.RAT</t>
        </is>
      </c>
      <c r="H127" s="22" t="n"/>
      <c r="I127" s="22" t="inlineStr">
        <is>
          <t>Trouver b tel que (5/12) × b = -1/3 en fraction irréductible, le comparer à -1</t>
        </is>
      </c>
    </row>
    <row r="128">
      <c r="A128" s="20" t="inlineStr">
        <is>
          <t>3eme</t>
        </is>
      </c>
      <c r="B128" s="21" t="inlineStr">
        <is>
          <t>N7</t>
        </is>
      </c>
      <c r="C128" s="21" t="inlineStr">
        <is>
          <t>B</t>
        </is>
      </c>
      <c r="D128" s="21" t="n">
        <v>2</v>
      </c>
      <c r="E128" s="20" t="inlineStr">
        <is>
          <t>rédigé</t>
        </is>
      </c>
      <c r="F128" s="20" t="inlineStr">
        <is>
          <t>N-d</t>
        </is>
      </c>
      <c r="G128" s="20" t="inlineStr">
        <is>
          <t>N.APP</t>
        </is>
      </c>
      <c r="H128" s="20" t="n"/>
      <c r="I128" s="20" t="inlineStr">
        <is>
          <t>Majorer le prix de 18 sacs de ciment à 4 750 FCFA, décider si 120 000 FCFA suffisent</t>
        </is>
      </c>
    </row>
    <row r="129">
      <c r="A129" s="22" t="inlineStr">
        <is>
          <t>3eme</t>
        </is>
      </c>
      <c r="B129" s="23" t="inlineStr">
        <is>
          <t>L5</t>
        </is>
      </c>
      <c r="C129" s="23" t="inlineStr">
        <is>
          <t>B</t>
        </is>
      </c>
      <c r="D129" s="23" t="n">
        <v>2</v>
      </c>
      <c r="E129" s="22" t="inlineStr">
        <is>
          <t>rédigé</t>
        </is>
      </c>
      <c r="F129" s="22" t="inlineStr">
        <is>
          <t>L-a</t>
        </is>
      </c>
      <c r="G129" s="22" t="inlineStr">
        <is>
          <t>L.IDR</t>
        </is>
      </c>
      <c r="H129" s="22" t="inlineStr">
        <is>
          <t>L.DEV1</t>
        </is>
      </c>
      <c r="I129" s="22" t="inlineStr">
        <is>
          <t>Développer et réduire E = (2x - 5)(2x + 5) - (2x - 5)², juger l'affirmation E = -20x</t>
        </is>
      </c>
    </row>
    <row r="130">
      <c r="A130" s="20" t="inlineStr">
        <is>
          <t>3eme</t>
        </is>
      </c>
      <c r="B130" s="21" t="inlineStr">
        <is>
          <t>L6</t>
        </is>
      </c>
      <c r="C130" s="21" t="inlineStr">
        <is>
          <t>B</t>
        </is>
      </c>
      <c r="D130" s="21" t="n">
        <v>2</v>
      </c>
      <c r="E130" s="20" t="inlineStr">
        <is>
          <t>rédigé</t>
        </is>
      </c>
      <c r="F130" s="20" t="inlineStr">
        <is>
          <t>L-b</t>
        </is>
      </c>
      <c r="G130" s="20" t="inlineStr">
        <is>
          <t>L.FAC1</t>
        </is>
      </c>
      <c r="H130" s="20" t="n"/>
      <c r="I130" s="20" t="inlineStr">
        <is>
          <t>Factoriser A = 4x² + 2x (jardin de Réo), juger « A vaut 60 m² pour x = 5 »</t>
        </is>
      </c>
    </row>
    <row r="131">
      <c r="A131" s="22" t="inlineStr">
        <is>
          <t>3eme</t>
        </is>
      </c>
      <c r="B131" s="23" t="inlineStr">
        <is>
          <t>L7</t>
        </is>
      </c>
      <c r="C131" s="23" t="inlineStr">
        <is>
          <t>B</t>
        </is>
      </c>
      <c r="D131" s="23" t="n">
        <v>2</v>
      </c>
      <c r="E131" s="22" t="inlineStr">
        <is>
          <t>rédigé</t>
        </is>
      </c>
      <c r="F131" s="22" t="inlineStr">
        <is>
          <t>L-c</t>
        </is>
      </c>
      <c r="G131" s="22" t="inlineStr">
        <is>
          <t>L.MISE</t>
        </is>
      </c>
      <c r="H131" s="22" t="inlineStr">
        <is>
          <t>L.EQ1</t>
        </is>
      </c>
      <c r="I131" s="22" t="inlineStr">
        <is>
          <t>Mettre en équation et résoudre : x pintades, le triple diminué de 6, total 58</t>
        </is>
      </c>
    </row>
    <row r="132">
      <c r="A132" s="20" t="inlineStr">
        <is>
          <t>3eme</t>
        </is>
      </c>
      <c r="B132" s="21" t="inlineStr">
        <is>
          <t>G7</t>
        </is>
      </c>
      <c r="C132" s="21" t="inlineStr">
        <is>
          <t>B</t>
        </is>
      </c>
      <c r="D132" s="21" t="n">
        <v>2</v>
      </c>
      <c r="E132" s="20" t="inlineStr">
        <is>
          <t>construction</t>
        </is>
      </c>
      <c r="F132" s="20" t="inlineStr">
        <is>
          <t>G-c</t>
        </is>
      </c>
      <c r="G132" s="20" t="inlineStr">
        <is>
          <t>G.VEC</t>
        </is>
      </c>
      <c r="H132" s="20" t="n"/>
      <c r="I132" s="20" t="inlineStr">
        <is>
          <t>Construire D tel que vecteur CD = vecteur AB (AB = 5 cm), juger si [AD] et [BC] ont même milieu</t>
        </is>
      </c>
    </row>
    <row r="133">
      <c r="A133" s="22" t="inlineStr">
        <is>
          <t>3eme</t>
        </is>
      </c>
      <c r="B133" s="23" t="inlineStr">
        <is>
          <t>G8</t>
        </is>
      </c>
      <c r="C133" s="23" t="inlineStr">
        <is>
          <t>B</t>
        </is>
      </c>
      <c r="D133" s="23" t="n">
        <v>2</v>
      </c>
      <c r="E133" s="22" t="inlineStr">
        <is>
          <t>rédigé</t>
        </is>
      </c>
      <c r="F133" s="22" t="inlineStr">
        <is>
          <t>G-d</t>
        </is>
      </c>
      <c r="G133" s="22" t="inlineStr">
        <is>
          <t>G.PROJ</t>
        </is>
      </c>
      <c r="H133" s="22" t="n"/>
      <c r="I133" s="22" t="inlineStr">
        <is>
          <t>Juger « périmètre de RUV = 6 cm » quand U, V milieux de [RS], [RT] et périmètre RST = 24 cm</t>
        </is>
      </c>
    </row>
    <row r="134">
      <c r="A134" s="20" t="inlineStr">
        <is>
          <t>3eme</t>
        </is>
      </c>
      <c r="B134" s="21" t="inlineStr">
        <is>
          <t>F1</t>
        </is>
      </c>
      <c r="C134" s="21" t="inlineStr">
        <is>
          <t>B</t>
        </is>
      </c>
      <c r="D134" s="21" t="n">
        <v>2</v>
      </c>
      <c r="E134" s="20" t="inlineStr">
        <is>
          <t>rédigé</t>
        </is>
      </c>
      <c r="F134" s="20" t="inlineStr">
        <is>
          <t>F-a</t>
        </is>
      </c>
      <c r="G134" s="20" t="inlineStr">
        <is>
          <t>F.APP</t>
        </is>
      </c>
      <c r="H134" s="20" t="inlineStr">
        <is>
          <t>L.EQ1</t>
        </is>
      </c>
      <c r="I134" s="20" t="inlineStr">
        <is>
          <t>Compléter le tableau de u(x) = 4 - 2x : image de -3 et antécédent de -8</t>
        </is>
      </c>
    </row>
    <row r="135">
      <c r="A135" s="22" t="inlineStr">
        <is>
          <t>3eme</t>
        </is>
      </c>
      <c r="B135" s="23" t="inlineStr">
        <is>
          <t>D3</t>
        </is>
      </c>
      <c r="C135" s="23" t="inlineStr">
        <is>
          <t>B</t>
        </is>
      </c>
      <c r="D135" s="23" t="n">
        <v>2</v>
      </c>
      <c r="E135" s="22" t="inlineStr">
        <is>
          <t>rédigé</t>
        </is>
      </c>
      <c r="F135" s="22" t="inlineStr">
        <is>
          <t>D-a</t>
        </is>
      </c>
      <c r="G135" s="22" t="inlineStr">
        <is>
          <t>D.STAT1</t>
        </is>
      </c>
      <c r="H135" s="22" t="inlineStr">
        <is>
          <t>L.EQ1</t>
        </is>
      </c>
      <c r="I135" s="22" t="inlineStr">
        <is>
          <t>Trouver l'effectif de la note 13 (somme des notes 176), le comparer au quart de l'effectif</t>
        </is>
      </c>
    </row>
    <row r="136">
      <c r="A136" s="20" t="inlineStr">
        <is>
          <t>3eme</t>
        </is>
      </c>
      <c r="B136" s="21" t="inlineStr">
        <is>
          <t>D4</t>
        </is>
      </c>
      <c r="C136" s="21" t="inlineStr">
        <is>
          <t>B</t>
        </is>
      </c>
      <c r="D136" s="21" t="n">
        <v>2</v>
      </c>
      <c r="E136" s="20" t="inlineStr">
        <is>
          <t>rédigé</t>
        </is>
      </c>
      <c r="F136" s="20" t="inlineStr">
        <is>
          <t>D-b</t>
        </is>
      </c>
      <c r="G136" s="20" t="inlineStr">
        <is>
          <t>D.POUR</t>
        </is>
      </c>
      <c r="H136" s="20" t="n"/>
      <c r="I136" s="20" t="inlineStr">
        <is>
          <t>Trouver le prix d'achat d'un sac de niébé vendu 21 000 FCFA avec 20 % de bénéfice, juger Salif</t>
        </is>
      </c>
    </row>
    <row r="137">
      <c r="A137" s="22" t="inlineStr">
        <is>
          <t>3eme</t>
        </is>
      </c>
      <c r="B137" s="23" t="inlineStr">
        <is>
          <t>P1.1</t>
        </is>
      </c>
      <c r="C137" s="23" t="inlineStr">
        <is>
          <t>C</t>
        </is>
      </c>
      <c r="D137" s="23" t="n">
        <v>2</v>
      </c>
      <c r="E137" s="22" t="inlineStr">
        <is>
          <t>rédigé</t>
        </is>
      </c>
      <c r="F137" s="22" t="inlineStr">
        <is>
          <t>G-f</t>
        </is>
      </c>
      <c r="G137" s="22" t="inlineStr">
        <is>
          <t>G.POLY</t>
        </is>
      </c>
      <c r="H137" s="22" t="n"/>
      <c r="I137" s="22" t="inlineStr">
        <is>
          <t>Calculer le volume d'une citerne en pavé droit de 3 m × 2 m × 1,5 m (Saponé)</t>
        </is>
      </c>
    </row>
    <row r="138">
      <c r="A138" s="20" t="inlineStr">
        <is>
          <t>3eme</t>
        </is>
      </c>
      <c r="B138" s="21" t="inlineStr">
        <is>
          <t>P1.2</t>
        </is>
      </c>
      <c r="C138" s="21" t="inlineStr">
        <is>
          <t>C</t>
        </is>
      </c>
      <c r="D138" s="21" t="n">
        <v>2</v>
      </c>
      <c r="E138" s="20" t="inlineStr">
        <is>
          <t>rédigé</t>
        </is>
      </c>
      <c r="F138" s="20" t="inlineStr">
        <is>
          <t>N-c</t>
        </is>
      </c>
      <c r="G138" s="20" t="inlineStr">
        <is>
          <t>N.RAT</t>
        </is>
      </c>
      <c r="H138" s="20" t="inlineStr">
        <is>
          <t>D.PROP</t>
        </is>
      </c>
      <c r="I138" s="20" t="inlineStr">
        <is>
          <t>Calculer en litres les trois quarts d'une citerne de 9 m³</t>
        </is>
      </c>
    </row>
    <row r="139">
      <c r="A139" s="22" t="inlineStr">
        <is>
          <t>3eme</t>
        </is>
      </c>
      <c r="B139" s="23" t="inlineStr">
        <is>
          <t>P1.3</t>
        </is>
      </c>
      <c r="C139" s="23" t="inlineStr">
        <is>
          <t>C</t>
        </is>
      </c>
      <c r="D139" s="23" t="n">
        <v>3</v>
      </c>
      <c r="E139" s="22" t="inlineStr">
        <is>
          <t>rédigé</t>
        </is>
      </c>
      <c r="F139" s="22" t="inlineStr">
        <is>
          <t>D-b</t>
        </is>
      </c>
      <c r="G139" s="22" t="inlineStr">
        <is>
          <t>D.PROP</t>
        </is>
      </c>
      <c r="H139" s="22" t="n"/>
      <c r="I139" s="22" t="inlineStr">
        <is>
          <t>Conclure sur le nombre de jours : 6 750 L pour 15 familles à 150 L par jour</t>
        </is>
      </c>
    </row>
    <row r="140">
      <c r="A140" s="20" t="inlineStr">
        <is>
          <t>3eme</t>
        </is>
      </c>
      <c r="B140" s="21" t="inlineStr">
        <is>
          <t>P2.1</t>
        </is>
      </c>
      <c r="C140" s="21" t="inlineStr">
        <is>
          <t>C</t>
        </is>
      </c>
      <c r="D140" s="21" t="n">
        <v>2</v>
      </c>
      <c r="E140" s="20" t="inlineStr">
        <is>
          <t>rédigé</t>
        </is>
      </c>
      <c r="F140" s="20" t="inlineStr">
        <is>
          <t>G-b</t>
        </is>
      </c>
      <c r="G140" s="20" t="inlineStr">
        <is>
          <t>G.REP</t>
        </is>
      </c>
      <c r="H140" s="20" t="n"/>
      <c r="I140" s="20" t="inlineStr">
        <is>
          <t>Calculer les coordonnées du milieu M de [AC] avec A(-4 ; 1) et C(4 ; -5) (Ziniaré)</t>
        </is>
      </c>
    </row>
    <row r="141">
      <c r="A141" s="22" t="inlineStr">
        <is>
          <t>3eme</t>
        </is>
      </c>
      <c r="B141" s="23" t="inlineStr">
        <is>
          <t>P2.2</t>
        </is>
      </c>
      <c r="C141" s="23" t="inlineStr">
        <is>
          <t>C</t>
        </is>
      </c>
      <c r="D141" s="23" t="n">
        <v>2</v>
      </c>
      <c r="E141" s="22" t="inlineStr">
        <is>
          <t>rédigé</t>
        </is>
      </c>
      <c r="F141" s="22" t="inlineStr">
        <is>
          <t>G-e</t>
        </is>
      </c>
      <c r="G141" s="22" t="inlineStr">
        <is>
          <t>G.TRANS</t>
        </is>
      </c>
      <c r="H141" s="22" t="inlineStr">
        <is>
          <t>G.REP</t>
        </is>
      </c>
      <c r="I141" s="22" t="inlineStr">
        <is>
          <t>Trouver D, image de M(0 ; -2) par la translation qui transforme B(2 ; 3) en A(-4 ; 1)</t>
        </is>
      </c>
    </row>
    <row r="142">
      <c r="A142" s="20" t="inlineStr">
        <is>
          <t>3eme</t>
        </is>
      </c>
      <c r="B142" s="21" t="inlineStr">
        <is>
          <t>P2.3</t>
        </is>
      </c>
      <c r="C142" s="21" t="inlineStr">
        <is>
          <t>C</t>
        </is>
      </c>
      <c r="D142" s="21" t="n">
        <v>3</v>
      </c>
      <c r="E142" s="20" t="inlineStr">
        <is>
          <t>rédigé</t>
        </is>
      </c>
      <c r="F142" s="20" t="inlineStr">
        <is>
          <t>D-b</t>
        </is>
      </c>
      <c r="G142" s="20" t="inlineStr">
        <is>
          <t>M.ECH</t>
        </is>
      </c>
      <c r="H142" s="20" t="n"/>
      <c r="I142" s="20" t="inlineStr">
        <is>
          <t>Conclure si une corde de 9 m suffit : [AC] mesure 5 cm sur un plan au 1/200</t>
        </is>
      </c>
    </row>
    <row r="143">
      <c r="A143" s="22" t="inlineStr">
        <is>
          <t>3eme</t>
        </is>
      </c>
      <c r="B143" s="23" t="inlineStr">
        <is>
          <t>P3.1</t>
        </is>
      </c>
      <c r="C143" s="23" t="inlineStr">
        <is>
          <t>C</t>
        </is>
      </c>
      <c r="D143" s="23" t="n">
        <v>2</v>
      </c>
      <c r="E143" s="22" t="inlineStr">
        <is>
          <t>rédigé</t>
        </is>
      </c>
      <c r="F143" s="22" t="inlineStr">
        <is>
          <t>F-a</t>
        </is>
      </c>
      <c r="G143" s="22" t="inlineStr">
        <is>
          <t>F.APP</t>
        </is>
      </c>
      <c r="H143" s="22" t="inlineStr">
        <is>
          <t>L.EQ1</t>
        </is>
      </c>
      <c r="I143" s="22" t="inlineStr">
        <is>
          <t>Déterminer l'antécédent de 80 000 par s(n) = 1 600n (voyage Ouahigouya, Bobo-Dioulasso)</t>
        </is>
      </c>
    </row>
    <row r="144">
      <c r="A144" s="20" t="inlineStr">
        <is>
          <t>3eme</t>
        </is>
      </c>
      <c r="B144" s="21" t="inlineStr">
        <is>
          <t>P3.2</t>
        </is>
      </c>
      <c r="C144" s="21" t="inlineStr">
        <is>
          <t>C</t>
        </is>
      </c>
      <c r="D144" s="21" t="n">
        <v>3</v>
      </c>
      <c r="E144" s="20" t="inlineStr">
        <is>
          <t>rédigé</t>
        </is>
      </c>
      <c r="F144" s="20" t="inlineStr">
        <is>
          <t>L-d</t>
        </is>
      </c>
      <c r="G144" s="20" t="inlineStr">
        <is>
          <t>L.INEQ1</t>
        </is>
      </c>
      <c r="H144" s="20" t="inlineStr">
        <is>
          <t>L.MISE</t>
        </is>
      </c>
      <c r="I144" s="20" t="inlineStr">
        <is>
          <t>Ecrire et résoudre une inéquation : la somme 1 600n couvre au moins les 84 000 FCFA du car</t>
        </is>
      </c>
    </row>
    <row r="145">
      <c r="A145" s="22" t="inlineStr">
        <is>
          <t>3eme</t>
        </is>
      </c>
      <c r="B145" s="23" t="inlineStr">
        <is>
          <t>P3.3</t>
        </is>
      </c>
      <c r="C145" s="23" t="inlineStr">
        <is>
          <t>C</t>
        </is>
      </c>
      <c r="D145" s="23" t="n">
        <v>3</v>
      </c>
      <c r="E145" s="22" t="inlineStr">
        <is>
          <t>rédigé</t>
        </is>
      </c>
      <c r="F145" s="22" t="inlineStr">
        <is>
          <t>N-a</t>
        </is>
      </c>
      <c r="G145" s="22" t="inlineStr">
        <is>
          <t>N.ENS</t>
        </is>
      </c>
      <c r="H145" s="22" t="inlineStr">
        <is>
          <t>L.INEQ1</t>
        </is>
      </c>
      <c r="I145" s="22" t="inlineStr">
        <is>
          <t>Conclure si 50 élèves suffisent, sachant n ≥ 52,5 et n entier naturel</t>
        </is>
      </c>
    </row>
    <row r="146">
      <c r="A146" s="20" t="inlineStr">
        <is>
          <t>2ndeC</t>
        </is>
      </c>
      <c r="B146" s="21" t="inlineStr">
        <is>
          <t>N1</t>
        </is>
      </c>
      <c r="C146" s="21" t="inlineStr">
        <is>
          <t>A</t>
        </is>
      </c>
      <c r="D146" s="21" t="n">
        <v>1</v>
      </c>
      <c r="E146" s="20" t="inlineStr">
        <is>
          <t>court</t>
        </is>
      </c>
      <c r="F146" s="20" t="inlineStr">
        <is>
          <t>N-a</t>
        </is>
      </c>
      <c r="G146" s="20" t="inlineStr">
        <is>
          <t>N.RAT</t>
        </is>
      </c>
      <c r="H146" s="20" t="n"/>
      <c r="I146" s="20" t="inlineStr">
        <is>
          <t>Calculer 9/4 × (5/6 - 1/3) sous forme de fraction irréductible</t>
        </is>
      </c>
    </row>
    <row r="147">
      <c r="A147" s="22" t="inlineStr">
        <is>
          <t>2ndeC</t>
        </is>
      </c>
      <c r="B147" s="23" t="inlineStr">
        <is>
          <t>N2</t>
        </is>
      </c>
      <c r="C147" s="23" t="inlineStr">
        <is>
          <t>A</t>
        </is>
      </c>
      <c r="D147" s="23" t="n">
        <v>1</v>
      </c>
      <c r="E147" s="22" t="inlineStr">
        <is>
          <t>court</t>
        </is>
      </c>
      <c r="F147" s="22" t="inlineStr">
        <is>
          <t>N-c</t>
        </is>
      </c>
      <c r="G147" s="22" t="inlineStr">
        <is>
          <t>N.RAC</t>
        </is>
      </c>
      <c r="H147" s="22" t="n"/>
      <c r="I147" s="22" t="inlineStr">
        <is>
          <t>Ecrire 2√45 sous la forme a√5</t>
        </is>
      </c>
    </row>
    <row r="148">
      <c r="A148" s="20" t="inlineStr">
        <is>
          <t>2ndeC</t>
        </is>
      </c>
      <c r="B148" s="21" t="inlineStr">
        <is>
          <t>N3</t>
        </is>
      </c>
      <c r="C148" s="21" t="inlineStr">
        <is>
          <t>A</t>
        </is>
      </c>
      <c r="D148" s="21" t="n">
        <v>1</v>
      </c>
      <c r="E148" s="20" t="inlineStr">
        <is>
          <t>qcm</t>
        </is>
      </c>
      <c r="F148" s="20" t="inlineStr">
        <is>
          <t>N-b</t>
        </is>
      </c>
      <c r="G148" s="20" t="inlineStr">
        <is>
          <t>N.PUI</t>
        </is>
      </c>
      <c r="H148" s="20" t="inlineStr">
        <is>
          <t>N.SCI</t>
        </is>
      </c>
      <c r="I148" s="20" t="inlineStr">
        <is>
          <t>Choisir l'écriture scientifique de (6 × 10⁻³)/(2 × 10⁵) parmi quatre propositions</t>
        </is>
      </c>
    </row>
    <row r="149">
      <c r="A149" s="22" t="inlineStr">
        <is>
          <t>2ndeC</t>
        </is>
      </c>
      <c r="B149" s="23" t="inlineStr">
        <is>
          <t>N4</t>
        </is>
      </c>
      <c r="C149" s="23" t="inlineStr">
        <is>
          <t>A</t>
        </is>
      </c>
      <c r="D149" s="23" t="n">
        <v>1</v>
      </c>
      <c r="E149" s="22" t="inlineStr">
        <is>
          <t>court</t>
        </is>
      </c>
      <c r="F149" s="22" t="inlineStr">
        <is>
          <t>N-d</t>
        </is>
      </c>
      <c r="G149" s="22" t="inlineStr">
        <is>
          <t>N.INT</t>
        </is>
      </c>
      <c r="H149" s="22" t="n"/>
      <c r="I149" s="22" t="inlineStr">
        <is>
          <t>Ecrire sous forme d'intervalle l'ensemble des réels x tels que x &gt; -4</t>
        </is>
      </c>
    </row>
    <row r="150">
      <c r="A150" s="20" t="inlineStr">
        <is>
          <t>2ndeC</t>
        </is>
      </c>
      <c r="B150" s="21" t="inlineStr">
        <is>
          <t>N5</t>
        </is>
      </c>
      <c r="C150" s="21" t="inlineStr">
        <is>
          <t>A</t>
        </is>
      </c>
      <c r="D150" s="21" t="n">
        <v>1</v>
      </c>
      <c r="E150" s="20" t="inlineStr">
        <is>
          <t>qcm</t>
        </is>
      </c>
      <c r="F150" s="20" t="inlineStr">
        <is>
          <t>N-c</t>
        </is>
      </c>
      <c r="G150" s="20" t="inlineStr">
        <is>
          <t>N.RAC</t>
        </is>
      </c>
      <c r="H150" s="20" t="inlineStr">
        <is>
          <t>L.IDR</t>
        </is>
      </c>
      <c r="I150" s="20" t="inlineStr">
        <is>
          <t>Choisir la valeur de (3 - √2)(3 + √2) parmi quatre propositions</t>
        </is>
      </c>
    </row>
    <row r="151">
      <c r="A151" s="22" t="inlineStr">
        <is>
          <t>2ndeC</t>
        </is>
      </c>
      <c r="B151" s="23" t="inlineStr">
        <is>
          <t>L1</t>
        </is>
      </c>
      <c r="C151" s="23" t="inlineStr">
        <is>
          <t>A</t>
        </is>
      </c>
      <c r="D151" s="23" t="n">
        <v>1</v>
      </c>
      <c r="E151" s="22" t="inlineStr">
        <is>
          <t>qcm</t>
        </is>
      </c>
      <c r="F151" s="22" t="inlineStr">
        <is>
          <t>L-a</t>
        </is>
      </c>
      <c r="G151" s="22" t="inlineStr">
        <is>
          <t>L.IDR</t>
        </is>
      </c>
      <c r="H151" s="22" t="n"/>
      <c r="I151" s="22" t="inlineStr">
        <is>
          <t>Choisir le développement de (5 - 2x)² parmi quatre propositions</t>
        </is>
      </c>
    </row>
    <row r="152">
      <c r="A152" s="20" t="inlineStr">
        <is>
          <t>2ndeC</t>
        </is>
      </c>
      <c r="B152" s="21" t="inlineStr">
        <is>
          <t>L2</t>
        </is>
      </c>
      <c r="C152" s="21" t="inlineStr">
        <is>
          <t>A</t>
        </is>
      </c>
      <c r="D152" s="21" t="n">
        <v>1</v>
      </c>
      <c r="E152" s="20" t="inlineStr">
        <is>
          <t>court</t>
        </is>
      </c>
      <c r="F152" s="20" t="inlineStr">
        <is>
          <t>L-b</t>
        </is>
      </c>
      <c r="G152" s="20" t="inlineStr">
        <is>
          <t>L.FAC2</t>
        </is>
      </c>
      <c r="H152" s="20" t="n"/>
      <c r="I152" s="20" t="inlineStr">
        <is>
          <t>Factoriser 9x² - 25</t>
        </is>
      </c>
    </row>
    <row r="153">
      <c r="A153" s="22" t="inlineStr">
        <is>
          <t>2ndeC</t>
        </is>
      </c>
      <c r="B153" s="23" t="inlineStr">
        <is>
          <t>L3</t>
        </is>
      </c>
      <c r="C153" s="23" t="inlineStr">
        <is>
          <t>A</t>
        </is>
      </c>
      <c r="D153" s="23" t="n">
        <v>1</v>
      </c>
      <c r="E153" s="22" t="inlineStr">
        <is>
          <t>court</t>
        </is>
      </c>
      <c r="F153" s="22" t="inlineStr">
        <is>
          <t>L-c</t>
        </is>
      </c>
      <c r="G153" s="22" t="inlineStr">
        <is>
          <t>L.EQ1</t>
        </is>
      </c>
      <c r="H153" s="22" t="n"/>
      <c r="I153" s="22" t="inlineStr">
        <is>
          <t>Résoudre dans ℝ l'équation 7x - 3 = 4x + 9</t>
        </is>
      </c>
    </row>
    <row r="154">
      <c r="A154" s="20" t="inlineStr">
        <is>
          <t>2ndeC</t>
        </is>
      </c>
      <c r="B154" s="21" t="inlineStr">
        <is>
          <t>L4</t>
        </is>
      </c>
      <c r="C154" s="21" t="inlineStr">
        <is>
          <t>A</t>
        </is>
      </c>
      <c r="D154" s="21" t="n">
        <v>1</v>
      </c>
      <c r="E154" s="20" t="inlineStr">
        <is>
          <t>qcm</t>
        </is>
      </c>
      <c r="F154" s="20" t="inlineStr">
        <is>
          <t>L-d</t>
        </is>
      </c>
      <c r="G154" s="20" t="inlineStr">
        <is>
          <t>L.INEQ1</t>
        </is>
      </c>
      <c r="H154" s="20" t="n"/>
      <c r="I154" s="20" t="inlineStr">
        <is>
          <t>Choisir l'ensemble des solutions de 5 - 2x ≥ 3x + 20 parmi quatre intervalles</t>
        </is>
      </c>
    </row>
    <row r="155">
      <c r="A155" s="22" t="inlineStr">
        <is>
          <t>2ndeC</t>
        </is>
      </c>
      <c r="B155" s="23" t="inlineStr">
        <is>
          <t>L5</t>
        </is>
      </c>
      <c r="C155" s="23" t="inlineStr">
        <is>
          <t>A</t>
        </is>
      </c>
      <c r="D155" s="23" t="n">
        <v>1</v>
      </c>
      <c r="E155" s="22" t="inlineStr">
        <is>
          <t>court</t>
        </is>
      </c>
      <c r="F155" s="22" t="inlineStr">
        <is>
          <t>L-a</t>
        </is>
      </c>
      <c r="G155" s="22" t="inlineStr">
        <is>
          <t>L.DEV1</t>
        </is>
      </c>
      <c r="H155" s="22" t="inlineStr">
        <is>
          <t>L.IDR</t>
        </is>
      </c>
      <c r="I155" s="22" t="inlineStr">
        <is>
          <t>Développer et réduire (x - 3)(x + 3) - x(x - 5)</t>
        </is>
      </c>
    </row>
    <row r="156">
      <c r="A156" s="20" t="inlineStr">
        <is>
          <t>2ndeC</t>
        </is>
      </c>
      <c r="B156" s="21" t="inlineStr">
        <is>
          <t>L6</t>
        </is>
      </c>
      <c r="C156" s="21" t="inlineStr">
        <is>
          <t>A</t>
        </is>
      </c>
      <c r="D156" s="21" t="n">
        <v>1</v>
      </c>
      <c r="E156" s="20" t="inlineStr">
        <is>
          <t>court</t>
        </is>
      </c>
      <c r="F156" s="20" t="inlineStr">
        <is>
          <t>L-e</t>
        </is>
      </c>
      <c r="G156" s="20" t="inlineStr">
        <is>
          <t>L.SYS</t>
        </is>
      </c>
      <c r="H156" s="20" t="n"/>
      <c r="I156" s="20" t="inlineStr">
        <is>
          <t>Résoudre le système 3x + 2y = 16 et x - 2y = 0</t>
        </is>
      </c>
    </row>
    <row r="157">
      <c r="A157" s="22" t="inlineStr">
        <is>
          <t>2ndeC</t>
        </is>
      </c>
      <c r="B157" s="23" t="inlineStr">
        <is>
          <t>L7</t>
        </is>
      </c>
      <c r="C157" s="23" t="inlineStr">
        <is>
          <t>A</t>
        </is>
      </c>
      <c r="D157" s="23" t="n">
        <v>1</v>
      </c>
      <c r="E157" s="22" t="inlineStr">
        <is>
          <t>court</t>
        </is>
      </c>
      <c r="F157" s="22" t="inlineStr">
        <is>
          <t>L-c</t>
        </is>
      </c>
      <c r="G157" s="22" t="inlineStr">
        <is>
          <t>L.EQP</t>
        </is>
      </c>
      <c r="H157" s="22" t="n"/>
      <c r="I157" s="22" t="inlineStr">
        <is>
          <t>Résoudre dans ℝ l'équation produit x(3x + 12) = 0</t>
        </is>
      </c>
    </row>
    <row r="158">
      <c r="A158" s="20" t="inlineStr">
        <is>
          <t>2ndeC</t>
        </is>
      </c>
      <c r="B158" s="21" t="inlineStr">
        <is>
          <t>G1</t>
        </is>
      </c>
      <c r="C158" s="21" t="inlineStr">
        <is>
          <t>A</t>
        </is>
      </c>
      <c r="D158" s="21" t="n">
        <v>1</v>
      </c>
      <c r="E158" s="20" t="inlineStr">
        <is>
          <t>court</t>
        </is>
      </c>
      <c r="F158" s="20" t="inlineStr">
        <is>
          <t>G-c</t>
        </is>
      </c>
      <c r="G158" s="20" t="inlineStr">
        <is>
          <t>G.PYT</t>
        </is>
      </c>
      <c r="H158" s="20" t="n"/>
      <c r="I158" s="20" t="inlineStr">
        <is>
          <t>Calculer MP dans MNP rectangle en M avec MN = 12 cm et NP = 13 cm</t>
        </is>
      </c>
    </row>
    <row r="159">
      <c r="A159" s="22" t="inlineStr">
        <is>
          <t>2ndeC</t>
        </is>
      </c>
      <c r="B159" s="23" t="inlineStr">
        <is>
          <t>G2</t>
        </is>
      </c>
      <c r="C159" s="23" t="inlineStr">
        <is>
          <t>A</t>
        </is>
      </c>
      <c r="D159" s="23" t="n">
        <v>1</v>
      </c>
      <c r="E159" s="22" t="inlineStr">
        <is>
          <t>court</t>
        </is>
      </c>
      <c r="F159" s="22" t="inlineStr">
        <is>
          <t>G-a</t>
        </is>
      </c>
      <c r="G159" s="22" t="inlineStr">
        <is>
          <t>G.VEC</t>
        </is>
      </c>
      <c r="H159" s="22" t="n"/>
      <c r="I159" s="22" t="inlineStr">
        <is>
          <t>Ecrire vecteur AB - vecteur AC sous la forme d'un seul vecteur</t>
        </is>
      </c>
    </row>
    <row r="160">
      <c r="A160" s="20" t="inlineStr">
        <is>
          <t>2ndeC</t>
        </is>
      </c>
      <c r="B160" s="21" t="inlineStr">
        <is>
          <t>G3</t>
        </is>
      </c>
      <c r="C160" s="21" t="inlineStr">
        <is>
          <t>A</t>
        </is>
      </c>
      <c r="D160" s="21" t="n">
        <v>1</v>
      </c>
      <c r="E160" s="20" t="inlineStr">
        <is>
          <t>qcm</t>
        </is>
      </c>
      <c r="F160" s="20" t="inlineStr">
        <is>
          <t>G-b</t>
        </is>
      </c>
      <c r="G160" s="20" t="inlineStr">
        <is>
          <t>G.RON</t>
        </is>
      </c>
      <c r="H160" s="20" t="n"/>
      <c r="I160" s="20" t="inlineStr">
        <is>
          <t>Choisir la distance AB avec A(-1 ; 2) et B(3 ; -1) en repère orthonormal</t>
        </is>
      </c>
    </row>
    <row r="161">
      <c r="A161" s="22" t="inlineStr">
        <is>
          <t>2ndeC</t>
        </is>
      </c>
      <c r="B161" s="23" t="inlineStr">
        <is>
          <t>G4</t>
        </is>
      </c>
      <c r="C161" s="23" t="inlineStr">
        <is>
          <t>A</t>
        </is>
      </c>
      <c r="D161" s="23" t="n">
        <v>1</v>
      </c>
      <c r="E161" s="22" t="inlineStr">
        <is>
          <t>qcm</t>
        </is>
      </c>
      <c r="F161" s="22" t="inlineStr">
        <is>
          <t>G-d</t>
        </is>
      </c>
      <c r="G161" s="22" t="inlineStr">
        <is>
          <t>G.THA</t>
        </is>
      </c>
      <c r="H161" s="22" t="n"/>
      <c r="I161" s="22" t="inlineStr">
        <is>
          <t>Choisir AC (Thalès) avec AM = 4 cm, AB = 10 cm, AN = 6 cm</t>
        </is>
      </c>
    </row>
    <row r="162">
      <c r="A162" s="20" t="inlineStr">
        <is>
          <t>2ndeC</t>
        </is>
      </c>
      <c r="B162" s="21" t="inlineStr">
        <is>
          <t>G5</t>
        </is>
      </c>
      <c r="C162" s="21" t="inlineStr">
        <is>
          <t>A</t>
        </is>
      </c>
      <c r="D162" s="21" t="n">
        <v>1</v>
      </c>
      <c r="E162" s="20" t="inlineStr">
        <is>
          <t>court</t>
        </is>
      </c>
      <c r="F162" s="20" t="inlineStr">
        <is>
          <t>G-a</t>
        </is>
      </c>
      <c r="G162" s="20" t="inlineStr">
        <is>
          <t>G.COL</t>
        </is>
      </c>
      <c r="H162" s="20" t="n"/>
      <c r="I162" s="20" t="inlineStr">
        <is>
          <t>Calculer les coordonnées du vecteur AB avec A(1 ; -2) et B(4 ; 3)</t>
        </is>
      </c>
    </row>
    <row r="163">
      <c r="A163" s="22" t="inlineStr">
        <is>
          <t>2ndeC</t>
        </is>
      </c>
      <c r="B163" s="23" t="inlineStr">
        <is>
          <t>G6</t>
        </is>
      </c>
      <c r="C163" s="23" t="inlineStr">
        <is>
          <t>A</t>
        </is>
      </c>
      <c r="D163" s="23" t="n">
        <v>1</v>
      </c>
      <c r="E163" s="22" t="inlineStr">
        <is>
          <t>court</t>
        </is>
      </c>
      <c r="F163" s="22" t="inlineStr">
        <is>
          <t>G-e</t>
        </is>
      </c>
      <c r="G163" s="22" t="inlineStr">
        <is>
          <t>T.TRIR</t>
        </is>
      </c>
      <c r="H163" s="22" t="n"/>
      <c r="I163" s="22" t="inlineStr">
        <is>
          <t>Calculer la hauteur atteinte par une rampe de 12 m inclinée de 30° sur le sol</t>
        </is>
      </c>
    </row>
    <row r="164">
      <c r="A164" s="20" t="inlineStr">
        <is>
          <t>2ndeC</t>
        </is>
      </c>
      <c r="B164" s="21" t="inlineStr">
        <is>
          <t>F1</t>
        </is>
      </c>
      <c r="C164" s="21" t="inlineStr">
        <is>
          <t>A</t>
        </is>
      </c>
      <c r="D164" s="21" t="n">
        <v>1</v>
      </c>
      <c r="E164" s="20" t="inlineStr">
        <is>
          <t>qcm</t>
        </is>
      </c>
      <c r="F164" s="20" t="inlineStr">
        <is>
          <t>F-a</t>
        </is>
      </c>
      <c r="G164" s="20" t="inlineStr">
        <is>
          <t>F.LIN</t>
        </is>
      </c>
      <c r="H164" s="20" t="inlineStr">
        <is>
          <t>L.EQ1</t>
        </is>
      </c>
      <c r="I164" s="20" t="inlineStr">
        <is>
          <t>Choisir l'antécédent de 13 par f(x) = -3x + 4 parmi quatre valeurs</t>
        </is>
      </c>
    </row>
    <row r="165">
      <c r="A165" s="22" t="inlineStr">
        <is>
          <t>2ndeC</t>
        </is>
      </c>
      <c r="B165" s="23" t="inlineStr">
        <is>
          <t>D1</t>
        </is>
      </c>
      <c r="C165" s="23" t="inlineStr">
        <is>
          <t>A</t>
        </is>
      </c>
      <c r="D165" s="23" t="n">
        <v>1</v>
      </c>
      <c r="E165" s="22" t="inlineStr">
        <is>
          <t>court</t>
        </is>
      </c>
      <c r="F165" s="22" t="inlineStr">
        <is>
          <t>D-a</t>
        </is>
      </c>
      <c r="G165" s="22" t="inlineStr">
        <is>
          <t>D.STAT1</t>
        </is>
      </c>
      <c r="H165" s="22" t="n"/>
      <c r="I165" s="22" t="inlineStr">
        <is>
          <t>Calculer le nombre moyen de sacs de karité (12, 15, 9, 14, 10) à Réo</t>
        </is>
      </c>
    </row>
    <row r="166">
      <c r="A166" s="20" t="inlineStr">
        <is>
          <t>2ndeC</t>
        </is>
      </c>
      <c r="B166" s="21" t="inlineStr">
        <is>
          <t>N6</t>
        </is>
      </c>
      <c r="C166" s="21" t="inlineStr">
        <is>
          <t>B</t>
        </is>
      </c>
      <c r="D166" s="21" t="n">
        <v>2</v>
      </c>
      <c r="E166" s="20" t="inlineStr">
        <is>
          <t>rédigé</t>
        </is>
      </c>
      <c r="F166" s="20" t="inlineStr">
        <is>
          <t>N-c</t>
        </is>
      </c>
      <c r="G166" s="20" t="inlineStr">
        <is>
          <t>N.RAC</t>
        </is>
      </c>
      <c r="H166" s="20" t="n"/>
      <c r="I166" s="20" t="inlineStr">
        <is>
          <t>Ecrire x tel que x² = 18 sous la forme a√2, puis juger si x &gt; 4 (Issouf)</t>
        </is>
      </c>
    </row>
    <row r="167">
      <c r="A167" s="22" t="inlineStr">
        <is>
          <t>2ndeC</t>
        </is>
      </c>
      <c r="B167" s="23" t="inlineStr">
        <is>
          <t>N7</t>
        </is>
      </c>
      <c r="C167" s="23" t="inlineStr">
        <is>
          <t>B</t>
        </is>
      </c>
      <c r="D167" s="23" t="n">
        <v>2</v>
      </c>
      <c r="E167" s="22" t="inlineStr">
        <is>
          <t>rédigé</t>
        </is>
      </c>
      <c r="F167" s="22" t="inlineStr">
        <is>
          <t>N-d</t>
        </is>
      </c>
      <c r="G167" s="22" t="inlineStr">
        <is>
          <t>N.INT</t>
        </is>
      </c>
      <c r="H167" s="22" t="n"/>
      <c r="I167" s="22" t="inlineStr">
        <is>
          <t>Donner l'intervalle des valeurs de 3 - 2x pour -1 ≤ x &lt; 4 et la borne atteinte</t>
        </is>
      </c>
    </row>
    <row r="168">
      <c r="A168" s="20" t="inlineStr">
        <is>
          <t>2ndeC</t>
        </is>
      </c>
      <c r="B168" s="21" t="inlineStr">
        <is>
          <t>L8</t>
        </is>
      </c>
      <c r="C168" s="21" t="inlineStr">
        <is>
          <t>B</t>
        </is>
      </c>
      <c r="D168" s="21" t="n">
        <v>2</v>
      </c>
      <c r="E168" s="20" t="inlineStr">
        <is>
          <t>rédigé</t>
        </is>
      </c>
      <c r="F168" s="20" t="inlineStr">
        <is>
          <t>L-a</t>
        </is>
      </c>
      <c r="G168" s="20" t="inlineStr">
        <is>
          <t>L.IDR</t>
        </is>
      </c>
      <c r="H168" s="20" t="inlineStr">
        <is>
          <t>L.FAC1</t>
        </is>
      </c>
      <c r="I168" s="20" t="inlineStr">
        <is>
          <t>Développer (2x + 3)² - 4x² et juger si E est multiple de 3 pour tout entier x (Boukary)</t>
        </is>
      </c>
    </row>
    <row r="169">
      <c r="A169" s="22" t="inlineStr">
        <is>
          <t>2ndeC</t>
        </is>
      </c>
      <c r="B169" s="23" t="inlineStr">
        <is>
          <t>L9</t>
        </is>
      </c>
      <c r="C169" s="23" t="inlineStr">
        <is>
          <t>B</t>
        </is>
      </c>
      <c r="D169" s="23" t="n">
        <v>2</v>
      </c>
      <c r="E169" s="22" t="inlineStr">
        <is>
          <t>rédigé</t>
        </is>
      </c>
      <c r="F169" s="22" t="inlineStr">
        <is>
          <t>L-b</t>
        </is>
      </c>
      <c r="G169" s="22" t="inlineStr">
        <is>
          <t>L.FAC2</t>
        </is>
      </c>
      <c r="H169" s="22" t="inlineStr">
        <is>
          <t>L.EQP</t>
        </is>
      </c>
      <c r="I169" s="22" t="inlineStr">
        <is>
          <t>Factoriser 16x² - 25 - (4x + 5)(x - 3) et juger si F s'annule en 5/4 (Salif)</t>
        </is>
      </c>
    </row>
    <row r="170">
      <c r="A170" s="20" t="inlineStr">
        <is>
          <t>2ndeC</t>
        </is>
      </c>
      <c r="B170" s="21" t="inlineStr">
        <is>
          <t>L10</t>
        </is>
      </c>
      <c r="C170" s="21" t="inlineStr">
        <is>
          <t>B</t>
        </is>
      </c>
      <c r="D170" s="21" t="n">
        <v>2</v>
      </c>
      <c r="E170" s="20" t="inlineStr">
        <is>
          <t>rédigé</t>
        </is>
      </c>
      <c r="F170" s="20" t="inlineStr">
        <is>
          <t>L-c</t>
        </is>
      </c>
      <c r="G170" s="20" t="inlineStr">
        <is>
          <t>L.EQ1</t>
        </is>
      </c>
      <c r="H170" s="20" t="n"/>
      <c r="I170" s="20" t="inlineStr">
        <is>
          <t>Mettre en équation et trouver le stock de pagnes de Rasmané à Léo (2/5 vendus, 18, reste 30)</t>
        </is>
      </c>
    </row>
    <row r="171">
      <c r="A171" s="22" t="inlineStr">
        <is>
          <t>2ndeC</t>
        </is>
      </c>
      <c r="B171" s="23" t="inlineStr">
        <is>
          <t>L11</t>
        </is>
      </c>
      <c r="C171" s="23" t="inlineStr">
        <is>
          <t>B</t>
        </is>
      </c>
      <c r="D171" s="23" t="n">
        <v>2</v>
      </c>
      <c r="E171" s="22" t="inlineStr">
        <is>
          <t>rédigé</t>
        </is>
      </c>
      <c r="F171" s="22" t="inlineStr">
        <is>
          <t>L-d</t>
        </is>
      </c>
      <c r="G171" s="22" t="inlineStr">
        <is>
          <t>L.INEQ1</t>
        </is>
      </c>
      <c r="H171" s="22" t="n"/>
      <c r="I171" s="22" t="inlineStr">
        <is>
          <t>Ecrire l'inéquation (15 000 + 800 FCFA par participant, 38 000 FCFA) et trouver le maximum</t>
        </is>
      </c>
    </row>
    <row r="172">
      <c r="A172" s="20" t="inlineStr">
        <is>
          <t>2ndeC</t>
        </is>
      </c>
      <c r="B172" s="21" t="inlineStr">
        <is>
          <t>L12</t>
        </is>
      </c>
      <c r="C172" s="21" t="inlineStr">
        <is>
          <t>B</t>
        </is>
      </c>
      <c r="D172" s="21" t="n">
        <v>2</v>
      </c>
      <c r="E172" s="20" t="inlineStr">
        <is>
          <t>rédigé</t>
        </is>
      </c>
      <c r="F172" s="20" t="inlineStr">
        <is>
          <t>L-e</t>
        </is>
      </c>
      <c r="G172" s="20" t="inlineStr">
        <is>
          <t>L.SYS</t>
        </is>
      </c>
      <c r="H172" s="20" t="n"/>
      <c r="I172" s="20" t="inlineStr">
        <is>
          <t>Poser le système (4 bidons et 3 seaux = 62 L, bidon = seau + 5 L) et juger « le double »</t>
        </is>
      </c>
    </row>
    <row r="173">
      <c r="A173" s="22" t="inlineStr">
        <is>
          <t>2ndeC</t>
        </is>
      </c>
      <c r="B173" s="23" t="inlineStr">
        <is>
          <t>G7</t>
        </is>
      </c>
      <c r="C173" s="23" t="inlineStr">
        <is>
          <t>B</t>
        </is>
      </c>
      <c r="D173" s="23" t="n">
        <v>2</v>
      </c>
      <c r="E173" s="22" t="inlineStr">
        <is>
          <t>rédigé</t>
        </is>
      </c>
      <c r="F173" s="22" t="inlineStr">
        <is>
          <t>G-a</t>
        </is>
      </c>
      <c r="G173" s="22" t="inlineStr">
        <is>
          <t>G.COL</t>
        </is>
      </c>
      <c r="H173" s="22" t="n"/>
      <c r="I173" s="22" t="inlineStr">
        <is>
          <t>Trouver m pour que A(-2 ; 1), B(1 ; 3), C(7 ; m) soient alignés, vecteur AB(3 ; 2) donné</t>
        </is>
      </c>
    </row>
    <row r="174">
      <c r="A174" s="20" t="inlineStr">
        <is>
          <t>2ndeC</t>
        </is>
      </c>
      <c r="B174" s="21" t="inlineStr">
        <is>
          <t>G8</t>
        </is>
      </c>
      <c r="C174" s="21" t="inlineStr">
        <is>
          <t>B</t>
        </is>
      </c>
      <c r="D174" s="21" t="n">
        <v>2</v>
      </c>
      <c r="E174" s="20" t="inlineStr">
        <is>
          <t>rédigé</t>
        </is>
      </c>
      <c r="F174" s="20" t="inlineStr">
        <is>
          <t>G-b</t>
        </is>
      </c>
      <c r="G174" s="20" t="inlineStr">
        <is>
          <t>G.RON</t>
        </is>
      </c>
      <c r="H174" s="20" t="n"/>
      <c r="I174" s="20" t="inlineStr">
        <is>
          <t>Trouver F connaissant I(1 ; 1) milieu de [EF] et E(-3 ; 4), puis juger F sur l'axe des abscisses</t>
        </is>
      </c>
    </row>
    <row r="175">
      <c r="A175" s="22" t="inlineStr">
        <is>
          <t>2ndeC</t>
        </is>
      </c>
      <c r="B175" s="23" t="inlineStr">
        <is>
          <t>G9</t>
        </is>
      </c>
      <c r="C175" s="23" t="inlineStr">
        <is>
          <t>B</t>
        </is>
      </c>
      <c r="D175" s="23" t="n">
        <v>2</v>
      </c>
      <c r="E175" s="22" t="inlineStr">
        <is>
          <t>rédigé</t>
        </is>
      </c>
      <c r="F175" s="22" t="inlineStr">
        <is>
          <t>G-c</t>
        </is>
      </c>
      <c r="G175" s="22" t="inlineStr">
        <is>
          <t>G.PYT</t>
        </is>
      </c>
      <c r="H175" s="22" t="n"/>
      <c r="I175" s="22" t="inlineStr">
        <is>
          <t>Dire si l'angle en A est droit (AB = 9 m, AC = 12 m, BC = 14 m, Ouahigouya) et la bonne BC</t>
        </is>
      </c>
    </row>
    <row r="176">
      <c r="A176" s="20" t="inlineStr">
        <is>
          <t>2ndeC</t>
        </is>
      </c>
      <c r="B176" s="21" t="inlineStr">
        <is>
          <t>G10</t>
        </is>
      </c>
      <c r="C176" s="21" t="inlineStr">
        <is>
          <t>B</t>
        </is>
      </c>
      <c r="D176" s="21" t="n">
        <v>2</v>
      </c>
      <c r="E176" s="20" t="inlineStr">
        <is>
          <t>rédigé</t>
        </is>
      </c>
      <c r="F176" s="20" t="inlineStr">
        <is>
          <t>G-d</t>
        </is>
      </c>
      <c r="G176" s="20" t="inlineStr">
        <is>
          <t>G.THA</t>
        </is>
      </c>
      <c r="H176" s="20" t="n"/>
      <c r="I176" s="20" t="inlineStr">
        <is>
          <t>Calculer MN (AM = 6 cm, MB = 4 cm, BC = 15 cm, (MN)//(BC)) et juger « 2/3 de BC » (Talato)</t>
        </is>
      </c>
    </row>
    <row r="177">
      <c r="A177" s="22" t="inlineStr">
        <is>
          <t>2ndeC</t>
        </is>
      </c>
      <c r="B177" s="23" t="inlineStr">
        <is>
          <t>G11</t>
        </is>
      </c>
      <c r="C177" s="23" t="inlineStr">
        <is>
          <t>B</t>
        </is>
      </c>
      <c r="D177" s="23" t="n">
        <v>2</v>
      </c>
      <c r="E177" s="22" t="inlineStr">
        <is>
          <t>rédigé</t>
        </is>
      </c>
      <c r="F177" s="22" t="inlineStr">
        <is>
          <t>G-e</t>
        </is>
      </c>
      <c r="G177" s="22" t="inlineStr">
        <is>
          <t>T.TRIR</t>
        </is>
      </c>
      <c r="H177" s="22" t="n"/>
      <c r="I177" s="22" t="inlineStr">
        <is>
          <t>Calculer l'angle d'une piste de 90 m montant de 45 m et juger la piste de 120 m (Hamidou)</t>
        </is>
      </c>
    </row>
    <row r="178">
      <c r="A178" s="20" t="inlineStr">
        <is>
          <t>2ndeC</t>
        </is>
      </c>
      <c r="B178" s="21" t="inlineStr">
        <is>
          <t>F2</t>
        </is>
      </c>
      <c r="C178" s="21" t="inlineStr">
        <is>
          <t>B</t>
        </is>
      </c>
      <c r="D178" s="21" t="n">
        <v>2</v>
      </c>
      <c r="E178" s="20" t="inlineStr">
        <is>
          <t>rédigé</t>
        </is>
      </c>
      <c r="F178" s="20" t="inlineStr">
        <is>
          <t>F-a</t>
        </is>
      </c>
      <c r="G178" s="20" t="inlineStr">
        <is>
          <t>F.LIN</t>
        </is>
      </c>
      <c r="H178" s="20" t="n"/>
      <c r="I178" s="20" t="inlineStr">
        <is>
          <t>Trouver l'équation de (D) passant par A(-1 ; 5) et B(3 ; -3), puis juger C(2 ; -1) sur (D)</t>
        </is>
      </c>
    </row>
    <row r="179">
      <c r="A179" s="22" t="inlineStr">
        <is>
          <t>2ndeC</t>
        </is>
      </c>
      <c r="B179" s="23" t="inlineStr">
        <is>
          <t>D2</t>
        </is>
      </c>
      <c r="C179" s="23" t="inlineStr">
        <is>
          <t>B</t>
        </is>
      </c>
      <c r="D179" s="23" t="n">
        <v>2</v>
      </c>
      <c r="E179" s="22" t="inlineStr">
        <is>
          <t>rédigé</t>
        </is>
      </c>
      <c r="F179" s="22" t="inlineStr">
        <is>
          <t>D-a</t>
        </is>
      </c>
      <c r="G179" s="22" t="inlineStr">
        <is>
          <t>D.STAT1</t>
        </is>
      </c>
      <c r="H179" s="22" t="n"/>
      <c r="I179" s="22" t="inlineStr">
        <is>
          <t>Calculer l'effectif manquant (25 membres, Manga) et juger « plus de la moitié ont au moins 4 sacs »</t>
        </is>
      </c>
    </row>
    <row r="180">
      <c r="A180" s="20" t="inlineStr">
        <is>
          <t>2ndeC</t>
        </is>
      </c>
      <c r="B180" s="21" t="inlineStr">
        <is>
          <t>P1.1</t>
        </is>
      </c>
      <c r="C180" s="21" t="inlineStr">
        <is>
          <t>C</t>
        </is>
      </c>
      <c r="D180" s="21" t="n">
        <v>2</v>
      </c>
      <c r="E180" s="20" t="inlineStr">
        <is>
          <t>rédigé</t>
        </is>
      </c>
      <c r="F180" s="20" t="inlineStr">
        <is>
          <t>G-b</t>
        </is>
      </c>
      <c r="G180" s="20" t="inlineStr">
        <is>
          <t>G.RON</t>
        </is>
      </c>
      <c r="H180" s="20" t="n"/>
      <c r="I180" s="20" t="inlineStr">
        <is>
          <t>Calculer AB et AC en unités avec A(1 ; 2), B(7 ; 10), C(13 ; 2) (jardin de Ziniaré)</t>
        </is>
      </c>
    </row>
    <row r="181">
      <c r="A181" s="22" t="inlineStr">
        <is>
          <t>2ndeC</t>
        </is>
      </c>
      <c r="B181" s="23" t="inlineStr">
        <is>
          <t>P1.2</t>
        </is>
      </c>
      <c r="C181" s="23" t="inlineStr">
        <is>
          <t>C</t>
        </is>
      </c>
      <c r="D181" s="23" t="n">
        <v>3</v>
      </c>
      <c r="E181" s="22" t="inlineStr">
        <is>
          <t>rédigé</t>
        </is>
      </c>
      <c r="F181" s="22" t="inlineStr">
        <is>
          <t>N-a</t>
        </is>
      </c>
      <c r="G181" s="22" t="inlineStr">
        <is>
          <t>N.PRIO</t>
        </is>
      </c>
      <c r="H181" s="22" t="inlineStr">
        <is>
          <t>G.RON</t>
        </is>
      </c>
      <c r="I181" s="22" t="inlineStr">
        <is>
          <t>Calculer en mètres le périmètre (AB = 10, BC = 10, AC = 12 unités, unité 10 m)</t>
        </is>
      </c>
    </row>
    <row r="182">
      <c r="A182" s="20" t="inlineStr">
        <is>
          <t>2ndeC</t>
        </is>
      </c>
      <c r="B182" s="21" t="inlineStr">
        <is>
          <t>P1.3</t>
        </is>
      </c>
      <c r="C182" s="21" t="inlineStr">
        <is>
          <t>C</t>
        </is>
      </c>
      <c r="D182" s="21" t="n">
        <v>3</v>
      </c>
      <c r="E182" s="20" t="inlineStr">
        <is>
          <t>rédigé</t>
        </is>
      </c>
      <c r="F182" s="20" t="inlineStr">
        <is>
          <t>N-a</t>
        </is>
      </c>
      <c r="G182" s="20" t="inlineStr">
        <is>
          <t>N.PRIO</t>
        </is>
      </c>
      <c r="H182" s="20" t="n"/>
      <c r="I182" s="20" t="inlineStr">
        <is>
          <t>Calculer le coût de 320 m de clôture à 1 200 FCFA le mètre et conclure (budget 400 000 FCFA)</t>
        </is>
      </c>
    </row>
    <row r="183">
      <c r="A183" s="22" t="inlineStr">
        <is>
          <t>2ndeC</t>
        </is>
      </c>
      <c r="B183" s="23" t="inlineStr">
        <is>
          <t>P2.1</t>
        </is>
      </c>
      <c r="C183" s="23" t="inlineStr">
        <is>
          <t>C</t>
        </is>
      </c>
      <c r="D183" s="23" t="n">
        <v>2</v>
      </c>
      <c r="E183" s="22" t="inlineStr">
        <is>
          <t>rédigé</t>
        </is>
      </c>
      <c r="F183" s="22" t="inlineStr">
        <is>
          <t>G-c</t>
        </is>
      </c>
      <c r="G183" s="22" t="inlineStr">
        <is>
          <t>G.PYT</t>
        </is>
      </c>
      <c r="H183" s="22" t="inlineStr">
        <is>
          <t>G.THA</t>
        </is>
      </c>
      <c r="I183" s="22" t="inlineStr">
        <is>
          <t>Calculer BC (AB = 60 m, AC = 80 m, rectangle en A) puis MN (AM = 45 m) à Banfora</t>
        </is>
      </c>
    </row>
    <row r="184">
      <c r="A184" s="20" t="inlineStr">
        <is>
          <t>2ndeC</t>
        </is>
      </c>
      <c r="B184" s="21" t="inlineStr">
        <is>
          <t>P2.2</t>
        </is>
      </c>
      <c r="C184" s="21" t="inlineStr">
        <is>
          <t>C</t>
        </is>
      </c>
      <c r="D184" s="21" t="n">
        <v>3</v>
      </c>
      <c r="E184" s="20" t="inlineStr">
        <is>
          <t>rédigé</t>
        </is>
      </c>
      <c r="F184" s="20" t="inlineStr">
        <is>
          <t>G-e</t>
        </is>
      </c>
      <c r="G184" s="20" t="inlineStr">
        <is>
          <t>T.TRIR</t>
        </is>
      </c>
      <c r="H184" s="20" t="n"/>
      <c r="I184" s="20" t="inlineStr">
        <is>
          <t>Calculer sin ABC (AC = 80 m, BC = 100 m) puis la distance de M à (BC) avec MB = 15 m</t>
        </is>
      </c>
    </row>
    <row r="185">
      <c r="A185" s="22" t="inlineStr">
        <is>
          <t>2ndeC</t>
        </is>
      </c>
      <c r="B185" s="23" t="inlineStr">
        <is>
          <t>P2.3</t>
        </is>
      </c>
      <c r="C185" s="23" t="inlineStr">
        <is>
          <t>C</t>
        </is>
      </c>
      <c r="D185" s="23" t="n">
        <v>3</v>
      </c>
      <c r="E185" s="22" t="inlineStr">
        <is>
          <t>rédigé</t>
        </is>
      </c>
      <c r="F185" s="22" t="inlineStr">
        <is>
          <t>N-a</t>
        </is>
      </c>
      <c r="G185" s="22" t="inlineStr">
        <is>
          <t>N.RAT</t>
        </is>
      </c>
      <c r="H185" s="22" t="inlineStr">
        <is>
          <t>G.THA</t>
        </is>
      </c>
      <c r="I185" s="22" t="inlineStr">
        <is>
          <t>Comparer l'aire de MBCN (MN = 75 m, BC = 100 m, écart 12 m) au tiers du champ (Sibiri)</t>
        </is>
      </c>
    </row>
    <row r="186">
      <c r="A186" s="20" t="inlineStr">
        <is>
          <t>2ndeC</t>
        </is>
      </c>
      <c r="B186" s="21" t="inlineStr">
        <is>
          <t>P3.1</t>
        </is>
      </c>
      <c r="C186" s="21" t="inlineStr">
        <is>
          <t>C</t>
        </is>
      </c>
      <c r="D186" s="21" t="n">
        <v>2</v>
      </c>
      <c r="E186" s="20" t="inlineStr">
        <is>
          <t>rédigé</t>
        </is>
      </c>
      <c r="F186" s="20" t="inlineStr">
        <is>
          <t>F-a</t>
        </is>
      </c>
      <c r="G186" s="20" t="inlineStr">
        <is>
          <t>F.LIN</t>
        </is>
      </c>
      <c r="H186" s="20" t="n"/>
      <c r="I186" s="20" t="inlineStr">
        <is>
          <t>Exprimer f(x) (12 000 FCFA fixes + 300 FCFA par sac) et g(x) (500 FCFA par sac), Bobo-Dioulasso</t>
        </is>
      </c>
    </row>
    <row r="187">
      <c r="A187" s="22" t="inlineStr">
        <is>
          <t>2ndeC</t>
        </is>
      </c>
      <c r="B187" s="23" t="inlineStr">
        <is>
          <t>P3.2</t>
        </is>
      </c>
      <c r="C187" s="23" t="inlineStr">
        <is>
          <t>C</t>
        </is>
      </c>
      <c r="D187" s="23" t="n">
        <v>3</v>
      </c>
      <c r="E187" s="22" t="inlineStr">
        <is>
          <t>rédigé</t>
        </is>
      </c>
      <c r="F187" s="22" t="inlineStr">
        <is>
          <t>L-d</t>
        </is>
      </c>
      <c r="G187" s="22" t="inlineStr">
        <is>
          <t>L.INEQ1</t>
        </is>
      </c>
      <c r="H187" s="22" t="inlineStr">
        <is>
          <t>N.INT</t>
        </is>
      </c>
      <c r="I187" s="22" t="inlineStr">
        <is>
          <t>Résoudre 300x + 12 000 &lt; 500x et écrire l'ensemble des solutions sous forme d'intervalle</t>
        </is>
      </c>
    </row>
    <row r="188">
      <c r="A188" s="20" t="inlineStr">
        <is>
          <t>2ndeC</t>
        </is>
      </c>
      <c r="B188" s="21" t="inlineStr">
        <is>
          <t>P3.3</t>
        </is>
      </c>
      <c r="C188" s="21" t="inlineStr">
        <is>
          <t>C</t>
        </is>
      </c>
      <c r="D188" s="21" t="n">
        <v>3</v>
      </c>
      <c r="E188" s="20" t="inlineStr">
        <is>
          <t>rédigé</t>
        </is>
      </c>
      <c r="F188" s="20" t="inlineStr">
        <is>
          <t>F-a</t>
        </is>
      </c>
      <c r="G188" s="20" t="inlineStr">
        <is>
          <t>F.LIN</t>
        </is>
      </c>
      <c r="H188" s="20" t="inlineStr">
        <is>
          <t>L.INEQ1</t>
        </is>
      </c>
      <c r="I188" s="20" t="inlineStr">
        <is>
          <t>Calculer le prix chez X et chez Y pour 75 sacs et conclure sur le transporteur à choisir</t>
        </is>
      </c>
    </row>
    <row r="189">
      <c r="A189" s="22" t="inlineStr">
        <is>
          <t>2ndeC</t>
        </is>
      </c>
      <c r="B189" s="23" t="inlineStr">
        <is>
          <t>P4.1</t>
        </is>
      </c>
      <c r="C189" s="23" t="inlineStr">
        <is>
          <t>C</t>
        </is>
      </c>
      <c r="D189" s="23" t="n">
        <v>2</v>
      </c>
      <c r="E189" s="22" t="inlineStr">
        <is>
          <t>rédigé</t>
        </is>
      </c>
      <c r="F189" s="22" t="inlineStr">
        <is>
          <t>N-b</t>
        </is>
      </c>
      <c r="G189" s="22" t="inlineStr">
        <is>
          <t>N.SCI</t>
        </is>
      </c>
      <c r="H189" s="22" t="n"/>
      <c r="I189" s="22" t="inlineStr">
        <is>
          <t>Ecrire en notation scientifique la consommation de 800 habitants à 25 L par jour (Diapaga)</t>
        </is>
      </c>
    </row>
    <row r="190">
      <c r="A190" s="20" t="inlineStr">
        <is>
          <t>2ndeC</t>
        </is>
      </c>
      <c r="B190" s="21" t="inlineStr">
        <is>
          <t>P4.2</t>
        </is>
      </c>
      <c r="C190" s="21" t="inlineStr">
        <is>
          <t>C</t>
        </is>
      </c>
      <c r="D190" s="21" t="n">
        <v>3</v>
      </c>
      <c r="E190" s="20" t="inlineStr">
        <is>
          <t>rédigé</t>
        </is>
      </c>
      <c r="F190" s="20" t="inlineStr">
        <is>
          <t>N-b</t>
        </is>
      </c>
      <c r="G190" s="20" t="inlineStr">
        <is>
          <t>N.PUI</t>
        </is>
      </c>
      <c r="H190" s="20" t="inlineStr">
        <is>
          <t>L.EQ1</t>
        </is>
      </c>
      <c r="I190" s="20" t="inlineStr">
        <is>
          <t>Mettre en équation la vidange (1,2 × 10⁵ L, -1 × 10⁴ L par jour) et calculer n</t>
        </is>
      </c>
    </row>
    <row r="191">
      <c r="A191" s="22" t="inlineStr">
        <is>
          <t>2ndeC</t>
        </is>
      </c>
      <c r="B191" s="23" t="inlineStr">
        <is>
          <t>P4.3</t>
        </is>
      </c>
      <c r="C191" s="23" t="inlineStr">
        <is>
          <t>C</t>
        </is>
      </c>
      <c r="D191" s="23" t="n">
        <v>3</v>
      </c>
      <c r="E191" s="22" t="inlineStr">
        <is>
          <t>rédigé</t>
        </is>
      </c>
      <c r="F191" s="22" t="inlineStr">
        <is>
          <t>N-a</t>
        </is>
      </c>
      <c r="G191" s="22" t="inlineStr">
        <is>
          <t>N.PRIO</t>
        </is>
      </c>
      <c r="H191" s="22" t="inlineStr">
        <is>
          <t>L.EQ1</t>
        </is>
      </c>
      <c r="I191" s="22" t="inlineStr">
        <is>
          <t>Comparer 12 jours à deux semaines et juger « la réserve tiendra plus de deux semaines » (Yacouba)</t>
        </is>
      </c>
    </row>
    <row r="192">
      <c r="A192" s="20" t="inlineStr">
        <is>
          <t>1ereD</t>
        </is>
      </c>
      <c r="B192" s="21" t="inlineStr">
        <is>
          <t>N1</t>
        </is>
      </c>
      <c r="C192" s="21" t="inlineStr">
        <is>
          <t>A</t>
        </is>
      </c>
      <c r="D192" s="21" t="n">
        <v>1</v>
      </c>
      <c r="E192" s="20" t="inlineStr">
        <is>
          <t>qcm</t>
        </is>
      </c>
      <c r="F192" s="20" t="inlineStr">
        <is>
          <t>N-a</t>
        </is>
      </c>
      <c r="G192" s="20" t="inlineStr">
        <is>
          <t>N.RAC</t>
        </is>
      </c>
      <c r="H192" s="20" t="n"/>
      <c r="I192" s="20" t="inlineStr">
        <is>
          <t>Réduire √75 - √27 + √12 (QCM : 2√3, √60, 4√3, 6√3)</t>
        </is>
      </c>
    </row>
    <row r="193">
      <c r="A193" s="22" t="inlineStr">
        <is>
          <t>1ereD</t>
        </is>
      </c>
      <c r="B193" s="23" t="inlineStr">
        <is>
          <t>N2</t>
        </is>
      </c>
      <c r="C193" s="23" t="inlineStr">
        <is>
          <t>A</t>
        </is>
      </c>
      <c r="D193" s="23" t="n">
        <v>1</v>
      </c>
      <c r="E193" s="22" t="inlineStr">
        <is>
          <t>qcm</t>
        </is>
      </c>
      <c r="F193" s="22" t="inlineStr">
        <is>
          <t>N-b</t>
        </is>
      </c>
      <c r="G193" s="22" t="inlineStr">
        <is>
          <t>N.INT</t>
        </is>
      </c>
      <c r="H193" s="22" t="n"/>
      <c r="I193" s="22" t="inlineStr">
        <is>
          <t>Traduire |x - 2| &lt; 3 par un intervalle (QCM : ]-3 ; 3[, ]-1 ; 5[, ]-5 ; 1[, ]2 ; 5[)</t>
        </is>
      </c>
    </row>
    <row r="194">
      <c r="A194" s="20" t="inlineStr">
        <is>
          <t>1ereD</t>
        </is>
      </c>
      <c r="B194" s="21" t="inlineStr">
        <is>
          <t>L1</t>
        </is>
      </c>
      <c r="C194" s="21" t="inlineStr">
        <is>
          <t>A</t>
        </is>
      </c>
      <c r="D194" s="21" t="n">
        <v>1</v>
      </c>
      <c r="E194" s="20" t="inlineStr">
        <is>
          <t>court</t>
        </is>
      </c>
      <c r="F194" s="20" t="inlineStr">
        <is>
          <t>L-a</t>
        </is>
      </c>
      <c r="G194" s="20" t="inlineStr">
        <is>
          <t>L.EQ2</t>
        </is>
      </c>
      <c r="H194" s="20" t="n"/>
      <c r="I194" s="20" t="inlineStr">
        <is>
          <t>Résoudre dans ℝ l'équation 2x² - 5x - 3 = 0</t>
        </is>
      </c>
    </row>
    <row r="195">
      <c r="A195" s="22" t="inlineStr">
        <is>
          <t>1ereD</t>
        </is>
      </c>
      <c r="B195" s="23" t="inlineStr">
        <is>
          <t>L2</t>
        </is>
      </c>
      <c r="C195" s="23" t="inlineStr">
        <is>
          <t>A</t>
        </is>
      </c>
      <c r="D195" s="23" t="n">
        <v>1</v>
      </c>
      <c r="E195" s="22" t="inlineStr">
        <is>
          <t>court</t>
        </is>
      </c>
      <c r="F195" s="22" t="inlineStr">
        <is>
          <t>L-b</t>
        </is>
      </c>
      <c r="G195" s="22" t="inlineStr">
        <is>
          <t>L.TRI</t>
        </is>
      </c>
      <c r="H195" s="22" t="inlineStr">
        <is>
          <t>L.EQ2</t>
        </is>
      </c>
      <c r="I195" s="22" t="inlineStr">
        <is>
          <t>Factoriser le trinôme P(x) = 3x² - 12x + 9</t>
        </is>
      </c>
    </row>
    <row r="196">
      <c r="A196" s="20" t="inlineStr">
        <is>
          <t>1ereD</t>
        </is>
      </c>
      <c r="B196" s="21" t="inlineStr">
        <is>
          <t>L3</t>
        </is>
      </c>
      <c r="C196" s="21" t="inlineStr">
        <is>
          <t>A</t>
        </is>
      </c>
      <c r="D196" s="21" t="n">
        <v>1</v>
      </c>
      <c r="E196" s="20" t="inlineStr">
        <is>
          <t>court</t>
        </is>
      </c>
      <c r="F196" s="20" t="inlineStr">
        <is>
          <t>L-d</t>
        </is>
      </c>
      <c r="G196" s="20" t="inlineStr">
        <is>
          <t>L.SYSL</t>
        </is>
      </c>
      <c r="H196" s="20" t="n"/>
      <c r="I196" s="20" t="inlineStr">
        <is>
          <t>Résoudre le système 3x - 2y = 8 et x + 2y = 0</t>
        </is>
      </c>
    </row>
    <row r="197">
      <c r="A197" s="22" t="inlineStr">
        <is>
          <t>1ereD</t>
        </is>
      </c>
      <c r="B197" s="23" t="inlineStr">
        <is>
          <t>L4</t>
        </is>
      </c>
      <c r="C197" s="23" t="inlineStr">
        <is>
          <t>A</t>
        </is>
      </c>
      <c r="D197" s="23" t="n">
        <v>1</v>
      </c>
      <c r="E197" s="22" t="inlineStr">
        <is>
          <t>qcm</t>
        </is>
      </c>
      <c r="F197" s="22" t="inlineStr">
        <is>
          <t>L-c</t>
        </is>
      </c>
      <c r="G197" s="22" t="inlineStr">
        <is>
          <t>L.INEQ2</t>
        </is>
      </c>
      <c r="H197" s="22" t="n"/>
      <c r="I197" s="22" t="inlineStr">
        <is>
          <t>Résoudre (x - 2)/(x + 3) ≤ 0 (QCM : [-3 ; 2], ]-∞ ; -3[ ∪ [2 ; +∞[, [-2 ; 3], ]-3 ; 2])</t>
        </is>
      </c>
    </row>
    <row r="198">
      <c r="A198" s="20" t="inlineStr">
        <is>
          <t>1ereD</t>
        </is>
      </c>
      <c r="B198" s="21" t="inlineStr">
        <is>
          <t>F1</t>
        </is>
      </c>
      <c r="C198" s="21" t="inlineStr">
        <is>
          <t>A</t>
        </is>
      </c>
      <c r="D198" s="21" t="n">
        <v>1</v>
      </c>
      <c r="E198" s="20" t="inlineStr">
        <is>
          <t>court</t>
        </is>
      </c>
      <c r="F198" s="20" t="inlineStr">
        <is>
          <t>F-c</t>
        </is>
      </c>
      <c r="G198" s="20" t="inlineStr">
        <is>
          <t>F.GRA</t>
        </is>
      </c>
      <c r="H198" s="20" t="n"/>
      <c r="I198" s="20" t="inlineStr">
        <is>
          <t>Lire l'image de 0 par f, courbe passant par A(-3 ; 1), B(0 ; -2), C(2 ; 0) et D(5 ; 4)</t>
        </is>
      </c>
    </row>
    <row r="199">
      <c r="A199" s="22" t="inlineStr">
        <is>
          <t>1ereD</t>
        </is>
      </c>
      <c r="B199" s="23" t="inlineStr">
        <is>
          <t>F2</t>
        </is>
      </c>
      <c r="C199" s="23" t="inlineStr">
        <is>
          <t>A</t>
        </is>
      </c>
      <c r="D199" s="23" t="n">
        <v>1</v>
      </c>
      <c r="E199" s="22" t="inlineStr">
        <is>
          <t>court</t>
        </is>
      </c>
      <c r="F199" s="22" t="inlineStr">
        <is>
          <t>F-a</t>
        </is>
      </c>
      <c r="G199" s="22" t="inlineStr">
        <is>
          <t>F.DEF</t>
        </is>
      </c>
      <c r="H199" s="22" t="n"/>
      <c r="I199" s="22" t="inlineStr">
        <is>
          <t>Déterminer l'ensemble de définition de f(x) = (x + 1)/(x² - 9)</t>
        </is>
      </c>
    </row>
    <row r="200">
      <c r="A200" s="20" t="inlineStr">
        <is>
          <t>1ereD</t>
        </is>
      </c>
      <c r="B200" s="21" t="inlineStr">
        <is>
          <t>F3</t>
        </is>
      </c>
      <c r="C200" s="21" t="inlineStr">
        <is>
          <t>A</t>
        </is>
      </c>
      <c r="D200" s="21" t="n">
        <v>1</v>
      </c>
      <c r="E200" s="20" t="inlineStr">
        <is>
          <t>qcm</t>
        </is>
      </c>
      <c r="F200" s="20" t="inlineStr">
        <is>
          <t>F-d</t>
        </is>
      </c>
      <c r="G200" s="20" t="inlineStr">
        <is>
          <t>F.REF</t>
        </is>
      </c>
      <c r="H200" s="20" t="n"/>
      <c r="I200" s="20" t="inlineStr">
        <is>
          <t>Choisir la translation qui envoie la courbe de x² sur celle de (x - 3)² (QCM)</t>
        </is>
      </c>
    </row>
    <row r="201">
      <c r="A201" s="22" t="inlineStr">
        <is>
          <t>1ereD</t>
        </is>
      </c>
      <c r="B201" s="23" t="inlineStr">
        <is>
          <t>F4</t>
        </is>
      </c>
      <c r="C201" s="23" t="inlineStr">
        <is>
          <t>A</t>
        </is>
      </c>
      <c r="D201" s="23" t="n">
        <v>1</v>
      </c>
      <c r="E201" s="22" t="inlineStr">
        <is>
          <t>court</t>
        </is>
      </c>
      <c r="F201" s="22" t="inlineStr">
        <is>
          <t>F-e</t>
        </is>
      </c>
      <c r="G201" s="22" t="inlineStr">
        <is>
          <t>F.CIRC</t>
        </is>
      </c>
      <c r="H201" s="22" t="n"/>
      <c r="I201" s="22" t="inlineStr">
        <is>
          <t>Convertir en degrés un angle de 7π/6 radians</t>
        </is>
      </c>
    </row>
    <row r="202">
      <c r="A202" s="20" t="inlineStr">
        <is>
          <t>1ereD</t>
        </is>
      </c>
      <c r="B202" s="21" t="inlineStr">
        <is>
          <t>F5</t>
        </is>
      </c>
      <c r="C202" s="21" t="inlineStr">
        <is>
          <t>A</t>
        </is>
      </c>
      <c r="D202" s="21" t="n">
        <v>1</v>
      </c>
      <c r="E202" s="20" t="inlineStr">
        <is>
          <t>court</t>
        </is>
      </c>
      <c r="F202" s="20" t="inlineStr">
        <is>
          <t>F-d</t>
        </is>
      </c>
      <c r="G202" s="20" t="inlineStr">
        <is>
          <t>F.REF</t>
        </is>
      </c>
      <c r="H202" s="20" t="n"/>
      <c r="I202" s="20" t="inlineStr">
        <is>
          <t>Donner le sommet de la parabole d'équation y = (x + 1)² - 4</t>
        </is>
      </c>
    </row>
    <row r="203">
      <c r="A203" s="22" t="inlineStr">
        <is>
          <t>1ereD</t>
        </is>
      </c>
      <c r="B203" s="23" t="inlineStr">
        <is>
          <t>F6</t>
        </is>
      </c>
      <c r="C203" s="23" t="inlineStr">
        <is>
          <t>A</t>
        </is>
      </c>
      <c r="D203" s="23" t="n">
        <v>1</v>
      </c>
      <c r="E203" s="22" t="inlineStr">
        <is>
          <t>court</t>
        </is>
      </c>
      <c r="F203" s="22" t="inlineStr">
        <is>
          <t>F-b</t>
        </is>
      </c>
      <c r="G203" s="22" t="inlineStr">
        <is>
          <t>F.PAR</t>
        </is>
      </c>
      <c r="H203" s="22" t="n"/>
      <c r="I203" s="22" t="inlineStr">
        <is>
          <t>Donner la parité de la fonction u(x) = x³ - 4x définie sur ℝ</t>
        </is>
      </c>
    </row>
    <row r="204">
      <c r="A204" s="20" t="inlineStr">
        <is>
          <t>1ereD</t>
        </is>
      </c>
      <c r="B204" s="21" t="inlineStr">
        <is>
          <t>G1</t>
        </is>
      </c>
      <c r="C204" s="21" t="inlineStr">
        <is>
          <t>A</t>
        </is>
      </c>
      <c r="D204" s="21" t="n">
        <v>1</v>
      </c>
      <c r="E204" s="20" t="inlineStr">
        <is>
          <t>court</t>
        </is>
      </c>
      <c r="F204" s="20" t="inlineStr">
        <is>
          <t>G-a</t>
        </is>
      </c>
      <c r="G204" s="20" t="inlineStr">
        <is>
          <t>G.COL</t>
        </is>
      </c>
      <c r="H204" s="20" t="n"/>
      <c r="I204" s="20" t="inlineStr">
        <is>
          <t>Trouver m pour que les vecteurs u(m ; 6) et v(3 ; -2) soient colinéaires</t>
        </is>
      </c>
    </row>
    <row r="205">
      <c r="A205" s="22" t="inlineStr">
        <is>
          <t>1ereD</t>
        </is>
      </c>
      <c r="B205" s="23" t="inlineStr">
        <is>
          <t>G2</t>
        </is>
      </c>
      <c r="C205" s="23" t="inlineStr">
        <is>
          <t>A</t>
        </is>
      </c>
      <c r="D205" s="23" t="n">
        <v>1</v>
      </c>
      <c r="E205" s="22" t="inlineStr">
        <is>
          <t>qcm</t>
        </is>
      </c>
      <c r="F205" s="22" t="inlineStr">
        <is>
          <t>G-b</t>
        </is>
      </c>
      <c r="G205" s="22" t="inlineStr">
        <is>
          <t>G.PS</t>
        </is>
      </c>
      <c r="H205" s="22" t="n"/>
      <c r="I205" s="22" t="inlineStr">
        <is>
          <t>Calculer le produit scalaire de u(2 ; -3) et v(-4 ; 1) (QCM : -5, -11, 5, 11)</t>
        </is>
      </c>
    </row>
    <row r="206">
      <c r="A206" s="20" t="inlineStr">
        <is>
          <t>1ereD</t>
        </is>
      </c>
      <c r="B206" s="21" t="inlineStr">
        <is>
          <t>G3</t>
        </is>
      </c>
      <c r="C206" s="21" t="inlineStr">
        <is>
          <t>A</t>
        </is>
      </c>
      <c r="D206" s="21" t="n">
        <v>1</v>
      </c>
      <c r="E206" s="20" t="inlineStr">
        <is>
          <t>court</t>
        </is>
      </c>
      <c r="F206" s="20" t="inlineStr">
        <is>
          <t>G-d</t>
        </is>
      </c>
      <c r="G206" s="20" t="inlineStr">
        <is>
          <t>G.HOM</t>
        </is>
      </c>
      <c r="H206" s="20" t="n"/>
      <c r="I206" s="20" t="inlineStr">
        <is>
          <t>Calculer l'image A' de A(5 ; 3) par la symétrie de centre I(2 ; -1)</t>
        </is>
      </c>
    </row>
    <row r="207">
      <c r="A207" s="22" t="inlineStr">
        <is>
          <t>1ereD</t>
        </is>
      </c>
      <c r="B207" s="23" t="inlineStr">
        <is>
          <t>G4</t>
        </is>
      </c>
      <c r="C207" s="23" t="inlineStr">
        <is>
          <t>A</t>
        </is>
      </c>
      <c r="D207" s="23" t="n">
        <v>1</v>
      </c>
      <c r="E207" s="22" t="inlineStr">
        <is>
          <t>court</t>
        </is>
      </c>
      <c r="F207" s="22" t="inlineStr">
        <is>
          <t>G-c</t>
        </is>
      </c>
      <c r="G207" s="22" t="inlineStr">
        <is>
          <t>G.PLAN</t>
        </is>
      </c>
      <c r="H207" s="22" t="n"/>
      <c r="I207" s="22" t="inlineStr">
        <is>
          <t>Calculer la distance AB pour A(-2 ; 3) et B(4 ; -5) en repère orthonormé</t>
        </is>
      </c>
    </row>
    <row r="208">
      <c r="A208" s="20" t="inlineStr">
        <is>
          <t>1ereD</t>
        </is>
      </c>
      <c r="B208" s="21" t="inlineStr">
        <is>
          <t>G5</t>
        </is>
      </c>
      <c r="C208" s="21" t="inlineStr">
        <is>
          <t>A</t>
        </is>
      </c>
      <c r="D208" s="21" t="n">
        <v>1</v>
      </c>
      <c r="E208" s="20" t="inlineStr">
        <is>
          <t>qcm</t>
        </is>
      </c>
      <c r="F208" s="20" t="inlineStr">
        <is>
          <t>G-e</t>
        </is>
      </c>
      <c r="G208" s="20" t="inlineStr">
        <is>
          <t>G.ESP</t>
        </is>
      </c>
      <c r="H208" s="20" t="n"/>
      <c r="I208" s="20" t="inlineStr">
        <is>
          <t>Donner la position relative des droites (AB) et (HG) dans le cube ABCDEFGH (QCM)</t>
        </is>
      </c>
    </row>
    <row r="209">
      <c r="A209" s="22" t="inlineStr">
        <is>
          <t>1ereD</t>
        </is>
      </c>
      <c r="B209" s="23" t="inlineStr">
        <is>
          <t>G6</t>
        </is>
      </c>
      <c r="C209" s="23" t="inlineStr">
        <is>
          <t>A</t>
        </is>
      </c>
      <c r="D209" s="23" t="n">
        <v>1</v>
      </c>
      <c r="E209" s="22" t="inlineStr">
        <is>
          <t>court</t>
        </is>
      </c>
      <c r="F209" s="22" t="inlineStr">
        <is>
          <t>G-d</t>
        </is>
      </c>
      <c r="G209" s="22" t="inlineStr">
        <is>
          <t>G.HOM</t>
        </is>
      </c>
      <c r="H209" s="22" t="n"/>
      <c r="I209" s="22" t="inlineStr">
        <is>
          <t>Calculer l'image M' de M(4 ; 1) par l'homothétie de centre I(1 ; 3) et de rapport -2</t>
        </is>
      </c>
    </row>
    <row r="210">
      <c r="A210" s="20" t="inlineStr">
        <is>
          <t>1ereD</t>
        </is>
      </c>
      <c r="B210" s="21" t="inlineStr">
        <is>
          <t>G7</t>
        </is>
      </c>
      <c r="C210" s="21" t="inlineStr">
        <is>
          <t>A</t>
        </is>
      </c>
      <c r="D210" s="21" t="n">
        <v>1</v>
      </c>
      <c r="E210" s="20" t="inlineStr">
        <is>
          <t>court</t>
        </is>
      </c>
      <c r="F210" s="20" t="inlineStr">
        <is>
          <t>G-e</t>
        </is>
      </c>
      <c r="G210" s="20" t="inlineStr">
        <is>
          <t>G.ESP</t>
        </is>
      </c>
      <c r="H210" s="20" t="n"/>
      <c r="I210" s="20" t="inlineStr">
        <is>
          <t>Donner la position relative de la droite (AE) et du plan (EFG) dans le cube ABCDEFGH</t>
        </is>
      </c>
    </row>
    <row r="211">
      <c r="A211" s="22" t="inlineStr">
        <is>
          <t>1ereD</t>
        </is>
      </c>
      <c r="B211" s="23" t="inlineStr">
        <is>
          <t>D1</t>
        </is>
      </c>
      <c r="C211" s="23" t="inlineStr">
        <is>
          <t>A</t>
        </is>
      </c>
      <c r="D211" s="23" t="n">
        <v>1</v>
      </c>
      <c r="E211" s="22" t="inlineStr">
        <is>
          <t>qcm</t>
        </is>
      </c>
      <c r="F211" s="22" t="inlineStr">
        <is>
          <t>D-a</t>
        </is>
      </c>
      <c r="G211" s="22" t="inlineStr">
        <is>
          <t>D.STAT2</t>
        </is>
      </c>
      <c r="H211" s="22" t="n"/>
      <c r="I211" s="22" t="inlineStr">
        <is>
          <t>Trouver la médiane de 8 masses de sacs de mil à Réo : 48, 52, 45, 50, 47, 52, 49, 53 (QCM)</t>
        </is>
      </c>
    </row>
    <row r="212">
      <c r="A212" s="20" t="inlineStr">
        <is>
          <t>1ereD</t>
        </is>
      </c>
      <c r="B212" s="21" t="inlineStr">
        <is>
          <t>N3</t>
        </is>
      </c>
      <c r="C212" s="21" t="inlineStr">
        <is>
          <t>B</t>
        </is>
      </c>
      <c r="D212" s="21" t="n">
        <v>2</v>
      </c>
      <c r="E212" s="20" t="inlineStr">
        <is>
          <t>rédigé</t>
        </is>
      </c>
      <c r="F212" s="20" t="inlineStr">
        <is>
          <t>N-a</t>
        </is>
      </c>
      <c r="G212" s="20" t="inlineStr">
        <is>
          <t>N.VAB</t>
        </is>
      </c>
      <c r="H212" s="20" t="n"/>
      <c r="I212" s="20" t="inlineStr">
        <is>
          <t>Ecrire B = |x - 2| + |x - 5| sans valeur absolue pour 2 &lt; x &lt; 5, puis donner sa valeur</t>
        </is>
      </c>
    </row>
    <row r="213">
      <c r="A213" s="22" t="inlineStr">
        <is>
          <t>1ereD</t>
        </is>
      </c>
      <c r="B213" s="23" t="inlineStr">
        <is>
          <t>N4</t>
        </is>
      </c>
      <c r="C213" s="23" t="inlineStr">
        <is>
          <t>B</t>
        </is>
      </c>
      <c r="D213" s="23" t="n">
        <v>2</v>
      </c>
      <c r="E213" s="22" t="inlineStr">
        <is>
          <t>rédigé</t>
        </is>
      </c>
      <c r="F213" s="22" t="inlineStr">
        <is>
          <t>N-b</t>
        </is>
      </c>
      <c r="G213" s="22" t="inlineStr">
        <is>
          <t>N.INT</t>
        </is>
      </c>
      <c r="H213" s="22" t="inlineStr">
        <is>
          <t>N.MAJ</t>
        </is>
      </c>
      <c r="I213" s="22" t="inlineStr">
        <is>
          <t>Encadrer 2x - y pour x dans ]-1 ; 3[ et y dans ]2 ; 4[, puis dire si -6 est un minorant</t>
        </is>
      </c>
    </row>
    <row r="214">
      <c r="A214" s="20" t="inlineStr">
        <is>
          <t>1ereD</t>
        </is>
      </c>
      <c r="B214" s="21" t="inlineStr">
        <is>
          <t>L5</t>
        </is>
      </c>
      <c r="C214" s="21" t="inlineStr">
        <is>
          <t>B</t>
        </is>
      </c>
      <c r="D214" s="21" t="n">
        <v>2</v>
      </c>
      <c r="E214" s="20" t="inlineStr">
        <is>
          <t>rédigé</t>
        </is>
      </c>
      <c r="F214" s="20" t="inlineStr">
        <is>
          <t>L-a</t>
        </is>
      </c>
      <c r="G214" s="20" t="inlineStr">
        <is>
          <t>L.EQ2</t>
        </is>
      </c>
      <c r="H214" s="20" t="n"/>
      <c r="I214" s="20" t="inlineStr">
        <is>
          <t>Trouver b pour que 3 soit solution de x² + bx + 12 = 0, puis l'autre solution</t>
        </is>
      </c>
    </row>
    <row r="215">
      <c r="A215" s="22" t="inlineStr">
        <is>
          <t>1ereD</t>
        </is>
      </c>
      <c r="B215" s="23" t="inlineStr">
        <is>
          <t>L6</t>
        </is>
      </c>
      <c r="C215" s="23" t="inlineStr">
        <is>
          <t>B</t>
        </is>
      </c>
      <c r="D215" s="23" t="n">
        <v>2</v>
      </c>
      <c r="E215" s="22" t="inlineStr">
        <is>
          <t>rédigé</t>
        </is>
      </c>
      <c r="F215" s="22" t="inlineStr">
        <is>
          <t>L-b</t>
        </is>
      </c>
      <c r="G215" s="22" t="inlineStr">
        <is>
          <t>L.TRI</t>
        </is>
      </c>
      <c r="H215" s="22" t="inlineStr">
        <is>
          <t>L.EQ2</t>
        </is>
      </c>
      <c r="I215" s="22" t="inlineStr">
        <is>
          <t>Factoriser Q(x) = -2x² + 2x + 12 et valider « Q(x) &gt; 0 sur ]-2 ; 3[ » (Fatimata)</t>
        </is>
      </c>
    </row>
    <row r="216">
      <c r="A216" s="20" t="inlineStr">
        <is>
          <t>1ereD</t>
        </is>
      </c>
      <c r="B216" s="21" t="inlineStr">
        <is>
          <t>L7</t>
        </is>
      </c>
      <c r="C216" s="21" t="inlineStr">
        <is>
          <t>B</t>
        </is>
      </c>
      <c r="D216" s="21" t="n">
        <v>2</v>
      </c>
      <c r="E216" s="20" t="inlineStr">
        <is>
          <t>rédigé</t>
        </is>
      </c>
      <c r="F216" s="20" t="inlineStr">
        <is>
          <t>L-c</t>
        </is>
      </c>
      <c r="G216" s="20" t="inlineStr">
        <is>
          <t>L.INEQ2</t>
        </is>
      </c>
      <c r="H216" s="20" t="inlineStr">
        <is>
          <t>F.DEF</t>
        </is>
      </c>
      <c r="I216" s="20" t="inlineStr">
        <is>
          <t>Résoudre (x + 1)/(x - 2) ≤ 1, puis dire si 2 est solution (Nafissatou)</t>
        </is>
      </c>
    </row>
    <row r="217">
      <c r="A217" s="22" t="inlineStr">
        <is>
          <t>1ereD</t>
        </is>
      </c>
      <c r="B217" s="23" t="inlineStr">
        <is>
          <t>L8</t>
        </is>
      </c>
      <c r="C217" s="23" t="inlineStr">
        <is>
          <t>B</t>
        </is>
      </c>
      <c r="D217" s="23" t="n">
        <v>2</v>
      </c>
      <c r="E217" s="22" t="inlineStr">
        <is>
          <t>rédigé</t>
        </is>
      </c>
      <c r="F217" s="22" t="inlineStr">
        <is>
          <t>L-d</t>
        </is>
      </c>
      <c r="G217" s="22" t="inlineStr">
        <is>
          <t>L.SYSL</t>
        </is>
      </c>
      <c r="H217" s="22" t="n"/>
      <c r="I217" s="22" t="inlineStr">
        <is>
          <t>Mettre en système les prix du mil et du niébé à Léo (34 000 et 60 000 FCFA), trouver le mil</t>
        </is>
      </c>
    </row>
    <row r="218">
      <c r="A218" s="20" t="inlineStr">
        <is>
          <t>1ereD</t>
        </is>
      </c>
      <c r="B218" s="21" t="inlineStr">
        <is>
          <t>F7</t>
        </is>
      </c>
      <c r="C218" s="21" t="inlineStr">
        <is>
          <t>B</t>
        </is>
      </c>
      <c r="D218" s="21" t="n">
        <v>2</v>
      </c>
      <c r="E218" s="20" t="inlineStr">
        <is>
          <t>rédigé</t>
        </is>
      </c>
      <c r="F218" s="20" t="inlineStr">
        <is>
          <t>F-a</t>
        </is>
      </c>
      <c r="G218" s="20" t="inlineStr">
        <is>
          <t>F.DEF</t>
        </is>
      </c>
      <c r="H218" s="20" t="n"/>
      <c r="I218" s="20" t="inlineStr">
        <is>
          <t>Trouver l'ensemble de définition de h(x) = √(x + 3)/(x - 1), puis dire si -3 en fait partie</t>
        </is>
      </c>
    </row>
    <row r="219">
      <c r="A219" s="22" t="inlineStr">
        <is>
          <t>1ereD</t>
        </is>
      </c>
      <c r="B219" s="23" t="inlineStr">
        <is>
          <t>F8</t>
        </is>
      </c>
      <c r="C219" s="23" t="inlineStr">
        <is>
          <t>B</t>
        </is>
      </c>
      <c r="D219" s="23" t="n">
        <v>2</v>
      </c>
      <c r="E219" s="22" t="inlineStr">
        <is>
          <t>rédigé</t>
        </is>
      </c>
      <c r="F219" s="22" t="inlineStr">
        <is>
          <t>F-b</t>
        </is>
      </c>
      <c r="G219" s="22" t="inlineStr">
        <is>
          <t>F.PAR</t>
        </is>
      </c>
      <c r="H219" s="22" t="n"/>
      <c r="I219" s="22" t="inlineStr">
        <is>
          <t>Valider « l'axe des ordonnées est axe de symétrie » pour v(x) = (x² + 1)/(x² + 3) (Boukary)</t>
        </is>
      </c>
    </row>
    <row r="220">
      <c r="A220" s="20" t="inlineStr">
        <is>
          <t>1ereD</t>
        </is>
      </c>
      <c r="B220" s="21" t="inlineStr">
        <is>
          <t>F9</t>
        </is>
      </c>
      <c r="C220" s="21" t="inlineStr">
        <is>
          <t>B</t>
        </is>
      </c>
      <c r="D220" s="21" t="n">
        <v>2</v>
      </c>
      <c r="E220" s="20" t="inlineStr">
        <is>
          <t>rédigé</t>
        </is>
      </c>
      <c r="F220" s="20" t="inlineStr">
        <is>
          <t>F-c</t>
        </is>
      </c>
      <c r="G220" s="20" t="inlineStr">
        <is>
          <t>F.GRA</t>
        </is>
      </c>
      <c r="H220" s="20" t="n"/>
      <c r="I220" s="20" t="inlineStr">
        <is>
          <t>Résoudre f(x) ≥ 0 (f décroît de (-4 ; 3) à (0 ; -5), croît à (6 ; 7)), juger le signe de f(1)</t>
        </is>
      </c>
    </row>
    <row r="221">
      <c r="A221" s="22" t="inlineStr">
        <is>
          <t>1ereD</t>
        </is>
      </c>
      <c r="B221" s="23" t="inlineStr">
        <is>
          <t>F10</t>
        </is>
      </c>
      <c r="C221" s="23" t="inlineStr">
        <is>
          <t>B</t>
        </is>
      </c>
      <c r="D221" s="23" t="n">
        <v>2</v>
      </c>
      <c r="E221" s="22" t="inlineStr">
        <is>
          <t>rédigé</t>
        </is>
      </c>
      <c r="F221" s="22" t="inlineStr">
        <is>
          <t>F-e</t>
        </is>
      </c>
      <c r="G221" s="22" t="inlineStr">
        <is>
          <t>F.CIRC</t>
        </is>
      </c>
      <c r="H221" s="22" t="n"/>
      <c r="I221" s="22" t="inlineStr">
        <is>
          <t>Calculer cos x sachant sin x = 4/5 et x dans ]π/2 ; π[</t>
        </is>
      </c>
    </row>
    <row r="222">
      <c r="A222" s="20" t="inlineStr">
        <is>
          <t>1ereD</t>
        </is>
      </c>
      <c r="B222" s="21" t="inlineStr">
        <is>
          <t>G8</t>
        </is>
      </c>
      <c r="C222" s="21" t="inlineStr">
        <is>
          <t>B</t>
        </is>
      </c>
      <c r="D222" s="21" t="n">
        <v>2</v>
      </c>
      <c r="E222" s="20" t="inlineStr">
        <is>
          <t>rédigé</t>
        </is>
      </c>
      <c r="F222" s="20" t="inlineStr">
        <is>
          <t>G-a</t>
        </is>
      </c>
      <c r="G222" s="20" t="inlineStr">
        <is>
          <t>G.COL</t>
        </is>
      </c>
      <c r="H222" s="20" t="n"/>
      <c r="I222" s="20" t="inlineStr">
        <is>
          <t>Avec AM→ = 3 AB→ - 2 AC→, exprimer BM→ en fonction de BC→ et prouver B, C, M alignés</t>
        </is>
      </c>
    </row>
    <row r="223">
      <c r="A223" s="22" t="inlineStr">
        <is>
          <t>1ereD</t>
        </is>
      </c>
      <c r="B223" s="23" t="inlineStr">
        <is>
          <t>G9</t>
        </is>
      </c>
      <c r="C223" s="23" t="inlineStr">
        <is>
          <t>B</t>
        </is>
      </c>
      <c r="D223" s="23" t="n">
        <v>2</v>
      </c>
      <c r="E223" s="22" t="inlineStr">
        <is>
          <t>rédigé</t>
        </is>
      </c>
      <c r="F223" s="22" t="inlineStr">
        <is>
          <t>G-b</t>
        </is>
      </c>
      <c r="G223" s="22" t="inlineStr">
        <is>
          <t>G.PS</t>
        </is>
      </c>
      <c r="H223" s="22" t="inlineStr">
        <is>
          <t>G.COL</t>
        </is>
      </c>
      <c r="I223" s="22" t="inlineStr">
        <is>
          <t>Calculer AB→ · AC→ pour A(1 ; -2), B(5 ; 0), C(0 ; 3), dire si ABC est rectangle en A</t>
        </is>
      </c>
    </row>
    <row r="224">
      <c r="A224" s="20" t="inlineStr">
        <is>
          <t>1ereD</t>
        </is>
      </c>
      <c r="B224" s="21" t="inlineStr">
        <is>
          <t>G10</t>
        </is>
      </c>
      <c r="C224" s="21" t="inlineStr">
        <is>
          <t>B</t>
        </is>
      </c>
      <c r="D224" s="21" t="n">
        <v>2</v>
      </c>
      <c r="E224" s="20" t="inlineStr">
        <is>
          <t>rédigé</t>
        </is>
      </c>
      <c r="F224" s="20" t="inlineStr">
        <is>
          <t>G-c</t>
        </is>
      </c>
      <c r="G224" s="20" t="inlineStr">
        <is>
          <t>G.PLAN</t>
        </is>
      </c>
      <c r="H224" s="20" t="n"/>
      <c r="I224" s="20" t="inlineStr">
        <is>
          <t>Trouver les ordonnées des points d'abscisse 5 du cercle de centre I(2 ; -1), rayon 5 ; juger x = 8</t>
        </is>
      </c>
    </row>
    <row r="225">
      <c r="A225" s="22" t="inlineStr">
        <is>
          <t>1ereD</t>
        </is>
      </c>
      <c r="B225" s="23" t="inlineStr">
        <is>
          <t>D2</t>
        </is>
      </c>
      <c r="C225" s="23" t="inlineStr">
        <is>
          <t>B</t>
        </is>
      </c>
      <c r="D225" s="23" t="n">
        <v>2</v>
      </c>
      <c r="E225" s="22" t="inlineStr">
        <is>
          <t>rédigé</t>
        </is>
      </c>
      <c r="F225" s="22" t="inlineStr">
        <is>
          <t>D-a</t>
        </is>
      </c>
      <c r="G225" s="22" t="inlineStr">
        <is>
          <t>D.STAT2</t>
        </is>
      </c>
      <c r="H225" s="22" t="n"/>
      <c r="I225" s="22" t="inlineStr">
        <is>
          <t>Retrouver la note effacée (6 notes lisibles de somme 69, moyenne 12 sur 7), juger médiane = 12</t>
        </is>
      </c>
    </row>
    <row r="226">
      <c r="A226" s="20" t="inlineStr">
        <is>
          <t>1ereD</t>
        </is>
      </c>
      <c r="B226" s="21" t="inlineStr">
        <is>
          <t>P1.1</t>
        </is>
      </c>
      <c r="C226" s="21" t="inlineStr">
        <is>
          <t>C</t>
        </is>
      </c>
      <c r="D226" s="21" t="n">
        <v>2</v>
      </c>
      <c r="E226" s="20" t="inlineStr">
        <is>
          <t>rédigé</t>
        </is>
      </c>
      <c r="F226" s="20" t="inlineStr">
        <is>
          <t>L-a</t>
        </is>
      </c>
      <c r="G226" s="20" t="inlineStr">
        <is>
          <t>L.EQ2</t>
        </is>
      </c>
      <c r="H226" s="20" t="n"/>
      <c r="I226" s="20" t="inlineStr">
        <is>
          <t>Vérifier que f(x) = -x² + 4x s'écrit -(x - 2)² + 4 (jet d'eau, Ziniaré)</t>
        </is>
      </c>
    </row>
    <row r="227">
      <c r="A227" s="22" t="inlineStr">
        <is>
          <t>1ereD</t>
        </is>
      </c>
      <c r="B227" s="23" t="inlineStr">
        <is>
          <t>P1.2</t>
        </is>
      </c>
      <c r="C227" s="23" t="inlineStr">
        <is>
          <t>C</t>
        </is>
      </c>
      <c r="D227" s="23" t="n">
        <v>3</v>
      </c>
      <c r="E227" s="22" t="inlineStr">
        <is>
          <t>rédigé</t>
        </is>
      </c>
      <c r="F227" s="22" t="inlineStr">
        <is>
          <t>F-d</t>
        </is>
      </c>
      <c r="G227" s="22" t="inlineStr">
        <is>
          <t>F.REF</t>
        </is>
      </c>
      <c r="H227" s="22" t="n"/>
      <c r="I227" s="22" t="inlineStr">
        <is>
          <t>Déduire de f(x) = -(x - 2)² + 4 la hauteur maximale de l'eau et la distance où elle est atteinte</t>
        </is>
      </c>
    </row>
    <row r="228">
      <c r="A228" s="20" t="inlineStr">
        <is>
          <t>1ereD</t>
        </is>
      </c>
      <c r="B228" s="21" t="inlineStr">
        <is>
          <t>P1.3</t>
        </is>
      </c>
      <c r="C228" s="21" t="inlineStr">
        <is>
          <t>C</t>
        </is>
      </c>
      <c r="D228" s="21" t="n">
        <v>3</v>
      </c>
      <c r="E228" s="20" t="inlineStr">
        <is>
          <t>rédigé</t>
        </is>
      </c>
      <c r="F228" s="20" t="inlineStr">
        <is>
          <t>F-c</t>
        </is>
      </c>
      <c r="G228" s="20" t="inlineStr">
        <is>
          <t>F.GRA</t>
        </is>
      </c>
      <c r="H228" s="20" t="n"/>
      <c r="I228" s="20" t="inlineStr">
        <is>
          <t>Calculer f(2,5) et dire si l'eau passe au-dessus d'un mur de 3,5 m placé à 2,5 m du jet</t>
        </is>
      </c>
    </row>
    <row r="229">
      <c r="A229" s="22" t="inlineStr">
        <is>
          <t>1ereD</t>
        </is>
      </c>
      <c r="B229" s="23" t="inlineStr">
        <is>
          <t>P2.1</t>
        </is>
      </c>
      <c r="C229" s="23" t="inlineStr">
        <is>
          <t>C</t>
        </is>
      </c>
      <c r="D229" s="23" t="n">
        <v>2</v>
      </c>
      <c r="E229" s="22" t="inlineStr">
        <is>
          <t>rédigé</t>
        </is>
      </c>
      <c r="F229" s="22" t="inlineStr">
        <is>
          <t>D-a</t>
        </is>
      </c>
      <c r="G229" s="22" t="inlineStr">
        <is>
          <t>D.STAT2</t>
        </is>
      </c>
      <c r="H229" s="22" t="n"/>
      <c r="I229" s="22" t="inlineStr">
        <is>
          <t>Déterminer médiane et étendue des ventes de pintades à Dori : 12, 15, 9, 18, 12, 21, 14, 12, 22</t>
        </is>
      </c>
    </row>
    <row r="230">
      <c r="A230" s="20" t="inlineStr">
        <is>
          <t>1ereD</t>
        </is>
      </c>
      <c r="B230" s="21" t="inlineStr">
        <is>
          <t>P2.2</t>
        </is>
      </c>
      <c r="C230" s="21" t="inlineStr">
        <is>
          <t>C</t>
        </is>
      </c>
      <c r="D230" s="21" t="n">
        <v>3</v>
      </c>
      <c r="E230" s="20" t="inlineStr">
        <is>
          <t>rédigé</t>
        </is>
      </c>
      <c r="F230" s="20" t="inlineStr">
        <is>
          <t>N-b</t>
        </is>
      </c>
      <c r="G230" s="20" t="inlineStr">
        <is>
          <t>N.INT</t>
        </is>
      </c>
      <c r="H230" s="20" t="inlineStr">
        <is>
          <t>D.STAT2</t>
        </is>
      </c>
      <c r="I230" s="20" t="inlineStr">
        <is>
          <t>Encadrer la moyenne des 10 jours (total 135 sur 9 jours, 10e jour entre 10 et 20 pintades)</t>
        </is>
      </c>
    </row>
    <row r="231">
      <c r="A231" s="22" t="inlineStr">
        <is>
          <t>1ereD</t>
        </is>
      </c>
      <c r="B231" s="23" t="inlineStr">
        <is>
          <t>P2.3</t>
        </is>
      </c>
      <c r="C231" s="23" t="inlineStr">
        <is>
          <t>C</t>
        </is>
      </c>
      <c r="D231" s="23" t="n">
        <v>3</v>
      </c>
      <c r="E231" s="22" t="inlineStr">
        <is>
          <t>rédigé</t>
        </is>
      </c>
      <c r="F231" s="22" t="inlineStr">
        <is>
          <t>D-a</t>
        </is>
      </c>
      <c r="G231" s="22" t="inlineStr">
        <is>
          <t>D.STAT2</t>
        </is>
      </c>
      <c r="H231" s="22" t="n"/>
      <c r="I231" s="22" t="inlineStr">
        <is>
          <t>Valider « au moins 14 pintades plus d'un jour sur deux » sur les 9 jours (affirmation d'Awa)</t>
        </is>
      </c>
    </row>
    <row r="232">
      <c r="A232" s="20" t="inlineStr">
        <is>
          <t>1ereD</t>
        </is>
      </c>
      <c r="B232" s="21" t="inlineStr">
        <is>
          <t>P3.1</t>
        </is>
      </c>
      <c r="C232" s="21" t="inlineStr">
        <is>
          <t>C</t>
        </is>
      </c>
      <c r="D232" s="21" t="n">
        <v>2</v>
      </c>
      <c r="E232" s="20" t="inlineStr">
        <is>
          <t>rédigé</t>
        </is>
      </c>
      <c r="F232" s="20" t="inlineStr">
        <is>
          <t>G-c</t>
        </is>
      </c>
      <c r="G232" s="20" t="inlineStr">
        <is>
          <t>G.PLAN</t>
        </is>
      </c>
      <c r="H232" s="20" t="inlineStr">
        <is>
          <t>G.PS</t>
        </is>
      </c>
      <c r="I232" s="20" t="inlineStr">
        <is>
          <t>Calculer BA, BC et BA→ · BC→ pour A(1 ; 2), B(5 ; 5), C(8 ; 1) (lotissement, Tenkodogo)</t>
        </is>
      </c>
    </row>
    <row r="233">
      <c r="A233" s="22" t="inlineStr">
        <is>
          <t>1ereD</t>
        </is>
      </c>
      <c r="B233" s="23" t="inlineStr">
        <is>
          <t>P3.2</t>
        </is>
      </c>
      <c r="C233" s="23" t="inlineStr">
        <is>
          <t>C</t>
        </is>
      </c>
      <c r="D233" s="23" t="n">
        <v>3</v>
      </c>
      <c r="E233" s="22" t="inlineStr">
        <is>
          <t>rédigé</t>
        </is>
      </c>
      <c r="F233" s="22" t="inlineStr">
        <is>
          <t>G-d</t>
        </is>
      </c>
      <c r="G233" s="22" t="inlineStr">
        <is>
          <t>G.HOM</t>
        </is>
      </c>
      <c r="H233" s="22" t="inlineStr">
        <is>
          <t>G.PS</t>
        </is>
      </c>
      <c r="I233" s="22" t="inlineStr">
        <is>
          <t>Donner la nature de ABC (BA = BC = 5, BA→ · BC→ = 0) et l'image D de A par la translation BC→</t>
        </is>
      </c>
    </row>
    <row r="234">
      <c r="A234" s="20" t="inlineStr">
        <is>
          <t>1ereD</t>
        </is>
      </c>
      <c r="B234" s="21" t="inlineStr">
        <is>
          <t>P3.3</t>
        </is>
      </c>
      <c r="C234" s="21" t="inlineStr">
        <is>
          <t>C</t>
        </is>
      </c>
      <c r="D234" s="21" t="n">
        <v>3</v>
      </c>
      <c r="E234" s="20" t="inlineStr">
        <is>
          <t>rédigé</t>
        </is>
      </c>
      <c r="F234" s="20" t="inlineStr">
        <is>
          <t>N-b</t>
        </is>
      </c>
      <c r="G234" s="20" t="inlineStr">
        <is>
          <t>N.INT</t>
        </is>
      </c>
      <c r="H234" s="20" t="n"/>
      <c r="I234" s="20" t="inlineStr">
        <is>
          <t>Encadrer le périmètre du carré de côté 49 à 51 m, dire si 190 m de grillage suffisent à coup sûr</t>
        </is>
      </c>
    </row>
    <row r="235">
      <c r="A235" s="22" t="inlineStr">
        <is>
          <t>1ereD</t>
        </is>
      </c>
      <c r="B235" s="23" t="inlineStr">
        <is>
          <t>P4.1</t>
        </is>
      </c>
      <c r="C235" s="23" t="inlineStr">
        <is>
          <t>C</t>
        </is>
      </c>
      <c r="D235" s="23" t="n">
        <v>2</v>
      </c>
      <c r="E235" s="22" t="inlineStr">
        <is>
          <t>rédigé</t>
        </is>
      </c>
      <c r="F235" s="22" t="inlineStr">
        <is>
          <t>N-a</t>
        </is>
      </c>
      <c r="G235" s="22" t="inlineStr">
        <is>
          <t>N.RAC</t>
        </is>
      </c>
      <c r="H235" s="22" t="n"/>
      <c r="I235" s="22" t="inlineStr">
        <is>
          <t>Calculer la diagonale AC de la base carrée de côté 3 m et l'écrire a√2 (grenier, Sapone)</t>
        </is>
      </c>
    </row>
    <row r="236">
      <c r="A236" s="20" t="inlineStr">
        <is>
          <t>1ereD</t>
        </is>
      </c>
      <c r="B236" s="21" t="inlineStr">
        <is>
          <t>P4.2</t>
        </is>
      </c>
      <c r="C236" s="21" t="inlineStr">
        <is>
          <t>C</t>
        </is>
      </c>
      <c r="D236" s="21" t="n">
        <v>3</v>
      </c>
      <c r="E236" s="20" t="inlineStr">
        <is>
          <t>rédigé</t>
        </is>
      </c>
      <c r="F236" s="20" t="inlineStr">
        <is>
          <t>G-e</t>
        </is>
      </c>
      <c r="G236" s="20" t="inlineStr">
        <is>
          <t>G.ESP</t>
        </is>
      </c>
      <c r="H236" s="20" t="inlineStr">
        <is>
          <t>G.PLAN</t>
        </is>
      </c>
      <c r="I236" s="20" t="inlineStr">
        <is>
          <t>Calculer AG (AC = 3√2 m, hauteur 4 m) et la position de (AB) et (CG) dans le pavé droit</t>
        </is>
      </c>
    </row>
    <row r="237">
      <c r="A237" s="22" t="inlineStr">
        <is>
          <t>1ereD</t>
        </is>
      </c>
      <c r="B237" s="23" t="inlineStr">
        <is>
          <t>P4.3</t>
        </is>
      </c>
      <c r="C237" s="23" t="inlineStr">
        <is>
          <t>C</t>
        </is>
      </c>
      <c r="D237" s="23" t="n">
        <v>3</v>
      </c>
      <c r="E237" s="22" t="inlineStr">
        <is>
          <t>rédigé</t>
        </is>
      </c>
      <c r="F237" s="22" t="inlineStr">
        <is>
          <t>N-a</t>
        </is>
      </c>
      <c r="G237" s="22" t="inlineStr">
        <is>
          <t>N.RAC</t>
        </is>
      </c>
      <c r="H237" s="22" t="inlineStr">
        <is>
          <t>G.ESP</t>
        </is>
      </c>
      <c r="I237" s="22" t="inlineStr">
        <is>
          <t>Comparer une perche de 5,80 m à AG = √34 m (5,80² = 33,64) et dire si elle tient dans le grenier</t>
        </is>
      </c>
    </row>
    <row r="238">
      <c r="A238" s="20" t="inlineStr">
        <is>
          <t>tleD</t>
        </is>
      </c>
      <c r="B238" s="21" t="inlineStr">
        <is>
          <t>N1</t>
        </is>
      </c>
      <c r="C238" s="21" t="inlineStr">
        <is>
          <t>A</t>
        </is>
      </c>
      <c r="D238" s="21" t="n">
        <v>1</v>
      </c>
      <c r="E238" s="20" t="inlineStr">
        <is>
          <t>court</t>
        </is>
      </c>
      <c r="F238" s="20" t="inlineStr">
        <is>
          <t>N-a</t>
        </is>
      </c>
      <c r="G238" s="20" t="inlineStr">
        <is>
          <t>N.RAC</t>
        </is>
      </c>
      <c r="H238" s="20" t="n"/>
      <c r="I238" s="20" t="inlineStr">
        <is>
          <t>Ecrire (√50 - √18)/√2 sous la forme d'un entier</t>
        </is>
      </c>
    </row>
    <row r="239">
      <c r="A239" s="22" t="inlineStr">
        <is>
          <t>tleD</t>
        </is>
      </c>
      <c r="B239" s="23" t="inlineStr">
        <is>
          <t>L1</t>
        </is>
      </c>
      <c r="C239" s="23" t="inlineStr">
        <is>
          <t>A</t>
        </is>
      </c>
      <c r="D239" s="23" t="n">
        <v>1</v>
      </c>
      <c r="E239" s="22" t="inlineStr">
        <is>
          <t>court</t>
        </is>
      </c>
      <c r="F239" s="22" t="inlineStr">
        <is>
          <t>L-a</t>
        </is>
      </c>
      <c r="G239" s="22" t="inlineStr">
        <is>
          <t>L.POLY</t>
        </is>
      </c>
      <c r="H239" s="22" t="n"/>
      <c r="I239" s="22" t="inlineStr">
        <is>
          <t>Identifier b dans x³ - 4x² + x + 6 = (x + 1)(x² + bx + 6)</t>
        </is>
      </c>
    </row>
    <row r="240">
      <c r="A240" s="20" t="inlineStr">
        <is>
          <t>tleD</t>
        </is>
      </c>
      <c r="B240" s="21" t="inlineStr">
        <is>
          <t>L2</t>
        </is>
      </c>
      <c r="C240" s="21" t="inlineStr">
        <is>
          <t>A</t>
        </is>
      </c>
      <c r="D240" s="21" t="n">
        <v>1</v>
      </c>
      <c r="E240" s="20" t="inlineStr">
        <is>
          <t>qcm</t>
        </is>
      </c>
      <c r="F240" s="20" t="inlineStr">
        <is>
          <t>L-c</t>
        </is>
      </c>
      <c r="G240" s="20" t="inlineStr">
        <is>
          <t>L.INEQ2</t>
        </is>
      </c>
      <c r="H240" s="20" t="inlineStr">
        <is>
          <t>L.EQ2</t>
        </is>
      </c>
      <c r="I240" s="20" t="inlineStr">
        <is>
          <t>Résoudre dans ℝ l'inéquation -x² + 4x - 3 &gt; 0 (QCM)</t>
        </is>
      </c>
    </row>
    <row r="241">
      <c r="A241" s="22" t="inlineStr">
        <is>
          <t>tleD</t>
        </is>
      </c>
      <c r="B241" s="23" t="inlineStr">
        <is>
          <t>L3</t>
        </is>
      </c>
      <c r="C241" s="23" t="inlineStr">
        <is>
          <t>A</t>
        </is>
      </c>
      <c r="D241" s="23" t="n">
        <v>1</v>
      </c>
      <c r="E241" s="22" t="inlineStr">
        <is>
          <t>court</t>
        </is>
      </c>
      <c r="F241" s="22" t="inlineStr">
        <is>
          <t>L-b</t>
        </is>
      </c>
      <c r="G241" s="22" t="inlineStr">
        <is>
          <t>L.RATF</t>
        </is>
      </c>
      <c r="H241" s="22" t="n"/>
      <c r="I241" s="22" t="inlineStr">
        <is>
          <t>Résoudre dans ℝ l'équation (x² - 1)/(x - 3) = 0</t>
        </is>
      </c>
    </row>
    <row r="242">
      <c r="A242" s="20" t="inlineStr">
        <is>
          <t>tleD</t>
        </is>
      </c>
      <c r="B242" s="21" t="inlineStr">
        <is>
          <t>F1</t>
        </is>
      </c>
      <c r="C242" s="21" t="inlineStr">
        <is>
          <t>A</t>
        </is>
      </c>
      <c r="D242" s="21" t="n">
        <v>1</v>
      </c>
      <c r="E242" s="20" t="inlineStr">
        <is>
          <t>qcm</t>
        </is>
      </c>
      <c r="F242" s="20" t="inlineStr">
        <is>
          <t>F-a</t>
        </is>
      </c>
      <c r="G242" s="20" t="inlineStr">
        <is>
          <t>F.DEF</t>
        </is>
      </c>
      <c r="H242" s="20" t="n"/>
      <c r="I242" s="20" t="inlineStr">
        <is>
          <t>Déterminer l'ensemble de définition de f(x) = x/√(x - 3) (QCM)</t>
        </is>
      </c>
    </row>
    <row r="243">
      <c r="A243" s="22" t="inlineStr">
        <is>
          <t>tleD</t>
        </is>
      </c>
      <c r="B243" s="23" t="inlineStr">
        <is>
          <t>F2</t>
        </is>
      </c>
      <c r="C243" s="23" t="inlineStr">
        <is>
          <t>A</t>
        </is>
      </c>
      <c r="D243" s="23" t="n">
        <v>1</v>
      </c>
      <c r="E243" s="22" t="inlineStr">
        <is>
          <t>court</t>
        </is>
      </c>
      <c r="F243" s="22" t="inlineStr">
        <is>
          <t>F-d</t>
        </is>
      </c>
      <c r="G243" s="22" t="inlineStr">
        <is>
          <t>F.DER</t>
        </is>
      </c>
      <c r="H243" s="22" t="n"/>
      <c r="I243" s="22" t="inlineStr">
        <is>
          <t>Dériver f(x) = 2x³ - 5/x sur ]0 ; +∞[</t>
        </is>
      </c>
    </row>
    <row r="244">
      <c r="A244" s="20" t="inlineStr">
        <is>
          <t>tleD</t>
        </is>
      </c>
      <c r="B244" s="21" t="inlineStr">
        <is>
          <t>F3</t>
        </is>
      </c>
      <c r="C244" s="21" t="inlineStr">
        <is>
          <t>A</t>
        </is>
      </c>
      <c r="D244" s="21" t="n">
        <v>1</v>
      </c>
      <c r="E244" s="20" t="inlineStr">
        <is>
          <t>qcm</t>
        </is>
      </c>
      <c r="F244" s="20" t="inlineStr">
        <is>
          <t>F-b</t>
        </is>
      </c>
      <c r="G244" s="20" t="inlineStr">
        <is>
          <t>F.LIM</t>
        </is>
      </c>
      <c r="H244" s="20" t="n"/>
      <c r="I244" s="20" t="inlineStr">
        <is>
          <t>Calculer la limite de (x + 1)/(x - 2) quand x tend vers 2 avec x &gt; 2 (QCM)</t>
        </is>
      </c>
    </row>
    <row r="245">
      <c r="A245" s="22" t="inlineStr">
        <is>
          <t>tleD</t>
        </is>
      </c>
      <c r="B245" s="23" t="inlineStr">
        <is>
          <t>F4</t>
        </is>
      </c>
      <c r="C245" s="23" t="inlineStr">
        <is>
          <t>A</t>
        </is>
      </c>
      <c r="D245" s="23" t="n">
        <v>1</v>
      </c>
      <c r="E245" s="22" t="inlineStr">
        <is>
          <t>court</t>
        </is>
      </c>
      <c r="F245" s="22" t="inlineStr">
        <is>
          <t>F-f</t>
        </is>
      </c>
      <c r="G245" s="22" t="inlineStr">
        <is>
          <t>F.VAR</t>
        </is>
      </c>
      <c r="H245" s="22" t="n"/>
      <c r="I245" s="22" t="inlineStr">
        <is>
          <t>Donner l'abscisse du maximum de g sachant que g'(x) = 5 - 2x</t>
        </is>
      </c>
    </row>
    <row r="246">
      <c r="A246" s="20" t="inlineStr">
        <is>
          <t>tleD</t>
        </is>
      </c>
      <c r="B246" s="21" t="inlineStr">
        <is>
          <t>F5</t>
        </is>
      </c>
      <c r="C246" s="21" t="inlineStr">
        <is>
          <t>A</t>
        </is>
      </c>
      <c r="D246" s="21" t="n">
        <v>1</v>
      </c>
      <c r="E246" s="20" t="inlineStr">
        <is>
          <t>qcm</t>
        </is>
      </c>
      <c r="F246" s="20" t="inlineStr">
        <is>
          <t>F-c</t>
        </is>
      </c>
      <c r="G246" s="20" t="inlineStr">
        <is>
          <t>F.ASY</t>
        </is>
      </c>
      <c r="H246" s="20" t="n"/>
      <c r="I246" s="20" t="inlineStr">
        <is>
          <t>Identifier les deux asymptotes de f(x) = (4x + 5)/(x + 1) (QCM)</t>
        </is>
      </c>
    </row>
    <row r="247">
      <c r="A247" s="22" t="inlineStr">
        <is>
          <t>tleD</t>
        </is>
      </c>
      <c r="B247" s="23" t="inlineStr">
        <is>
          <t>F6</t>
        </is>
      </c>
      <c r="C247" s="23" t="inlineStr">
        <is>
          <t>A</t>
        </is>
      </c>
      <c r="D247" s="23" t="n">
        <v>1</v>
      </c>
      <c r="E247" s="22" t="inlineStr">
        <is>
          <t>court</t>
        </is>
      </c>
      <c r="F247" s="22" t="inlineStr">
        <is>
          <t>F-d</t>
        </is>
      </c>
      <c r="G247" s="22" t="inlineStr">
        <is>
          <t>F.DER</t>
        </is>
      </c>
      <c r="H247" s="22" t="n"/>
      <c r="I247" s="22" t="inlineStr">
        <is>
          <t>Dériver u(x) = (3x² - 1)⁴ et écrire u'(x) sous forme de produit</t>
        </is>
      </c>
    </row>
    <row r="248">
      <c r="A248" s="20" t="inlineStr">
        <is>
          <t>tleD</t>
        </is>
      </c>
      <c r="B248" s="21" t="inlineStr">
        <is>
          <t>F7</t>
        </is>
      </c>
      <c r="C248" s="21" t="inlineStr">
        <is>
          <t>A</t>
        </is>
      </c>
      <c r="D248" s="21" t="n">
        <v>1</v>
      </c>
      <c r="E248" s="20" t="inlineStr">
        <is>
          <t>court</t>
        </is>
      </c>
      <c r="F248" s="20" t="inlineStr">
        <is>
          <t>F-e</t>
        </is>
      </c>
      <c r="G248" s="20" t="inlineStr">
        <is>
          <t>F.TAN</t>
        </is>
      </c>
      <c r="H248" s="20" t="inlineStr">
        <is>
          <t>F.DER</t>
        </is>
      </c>
      <c r="I248" s="20" t="inlineStr">
        <is>
          <t>Donner une équation de la tangente à la courbe de 1/x au point d'abscisse 2</t>
        </is>
      </c>
    </row>
    <row r="249">
      <c r="A249" s="22" t="inlineStr">
        <is>
          <t>tleD</t>
        </is>
      </c>
      <c r="B249" s="23" t="inlineStr">
        <is>
          <t>F8</t>
        </is>
      </c>
      <c r="C249" s="23" t="inlineStr">
        <is>
          <t>A</t>
        </is>
      </c>
      <c r="D249" s="23" t="n">
        <v>1</v>
      </c>
      <c r="E249" s="22" t="inlineStr">
        <is>
          <t>court</t>
        </is>
      </c>
      <c r="F249" s="22" t="inlineStr">
        <is>
          <t>F-g</t>
        </is>
      </c>
      <c r="G249" s="22" t="inlineStr">
        <is>
          <t>F.GRA</t>
        </is>
      </c>
      <c r="H249" s="22" t="n"/>
      <c r="I249" s="22" t="inlineStr">
        <is>
          <t>Lire le minimum de f et son abscisse : courbe de (-3 ; 4) à (1 ; -2) puis à (5 ; 6)</t>
        </is>
      </c>
    </row>
    <row r="250">
      <c r="A250" s="20" t="inlineStr">
        <is>
          <t>tleD</t>
        </is>
      </c>
      <c r="B250" s="21" t="inlineStr">
        <is>
          <t>S1</t>
        </is>
      </c>
      <c r="C250" s="21" t="inlineStr">
        <is>
          <t>A</t>
        </is>
      </c>
      <c r="D250" s="21" t="n">
        <v>1</v>
      </c>
      <c r="E250" s="20" t="inlineStr">
        <is>
          <t>qcm</t>
        </is>
      </c>
      <c r="F250" s="20" t="inlineStr">
        <is>
          <t>S-a</t>
        </is>
      </c>
      <c r="G250" s="20" t="inlineStr">
        <is>
          <t>S.SUI</t>
        </is>
      </c>
      <c r="H250" s="20" t="n"/>
      <c r="I250" s="20" t="inlineStr">
        <is>
          <t>Donner la raison de la suite arithmétique uₙ = 7 - 4n (QCM)</t>
        </is>
      </c>
    </row>
    <row r="251">
      <c r="A251" s="22" t="inlineStr">
        <is>
          <t>tleD</t>
        </is>
      </c>
      <c r="B251" s="23" t="inlineStr">
        <is>
          <t>S2</t>
        </is>
      </c>
      <c r="C251" s="23" t="inlineStr">
        <is>
          <t>A</t>
        </is>
      </c>
      <c r="D251" s="23" t="n">
        <v>1</v>
      </c>
      <c r="E251" s="22" t="inlineStr">
        <is>
          <t>court</t>
        </is>
      </c>
      <c r="F251" s="22" t="inlineStr">
        <is>
          <t>S-b</t>
        </is>
      </c>
      <c r="G251" s="22" t="inlineStr">
        <is>
          <t>S.REC</t>
        </is>
      </c>
      <c r="H251" s="22" t="n"/>
      <c r="I251" s="22" t="inlineStr">
        <is>
          <t>Ecrire au rang n + 1 l'inégalité 3ⁿ ≥ 2n + 1 d'une récurrence</t>
        </is>
      </c>
    </row>
    <row r="252">
      <c r="A252" s="20" t="inlineStr">
        <is>
          <t>tleD</t>
        </is>
      </c>
      <c r="B252" s="21" t="inlineStr">
        <is>
          <t>S3</t>
        </is>
      </c>
      <c r="C252" s="21" t="inlineStr">
        <is>
          <t>A</t>
        </is>
      </c>
      <c r="D252" s="21" t="n">
        <v>1</v>
      </c>
      <c r="E252" s="20" t="inlineStr">
        <is>
          <t>court</t>
        </is>
      </c>
      <c r="F252" s="20" t="inlineStr">
        <is>
          <t>S-a</t>
        </is>
      </c>
      <c r="G252" s="20" t="inlineStr">
        <is>
          <t>S.SUI</t>
        </is>
      </c>
      <c r="H252" s="20" t="n"/>
      <c r="I252" s="20" t="inlineStr">
        <is>
          <t>Calculer v₀ + ... + v₁₀ (suite arithmétique, v₀ = 2, raison 3, v₁₀ = 32)</t>
        </is>
      </c>
    </row>
    <row r="253">
      <c r="A253" s="22" t="inlineStr">
        <is>
          <t>tleD</t>
        </is>
      </c>
      <c r="B253" s="23" t="inlineStr">
        <is>
          <t>T1</t>
        </is>
      </c>
      <c r="C253" s="23" t="inlineStr">
        <is>
          <t>A</t>
        </is>
      </c>
      <c r="D253" s="23" t="n">
        <v>1</v>
      </c>
      <c r="E253" s="22" t="inlineStr">
        <is>
          <t>court</t>
        </is>
      </c>
      <c r="F253" s="22" t="inlineStr">
        <is>
          <t>T-a</t>
        </is>
      </c>
      <c r="G253" s="22" t="inlineStr">
        <is>
          <t>T.TRIG</t>
        </is>
      </c>
      <c r="H253" s="22" t="n"/>
      <c r="I253" s="22" t="inlineStr">
        <is>
          <t>Calculer cos(π/3)cos(π/6) - sin(π/3)sin(π/6)</t>
        </is>
      </c>
    </row>
    <row r="254">
      <c r="A254" s="20" t="inlineStr">
        <is>
          <t>tleD</t>
        </is>
      </c>
      <c r="B254" s="21" t="inlineStr">
        <is>
          <t>T2</t>
        </is>
      </c>
      <c r="C254" s="21" t="inlineStr">
        <is>
          <t>A</t>
        </is>
      </c>
      <c r="D254" s="21" t="n">
        <v>1</v>
      </c>
      <c r="E254" s="20" t="inlineStr">
        <is>
          <t>court</t>
        </is>
      </c>
      <c r="F254" s="20" t="inlineStr">
        <is>
          <t>T-b</t>
        </is>
      </c>
      <c r="G254" s="20" t="inlineStr">
        <is>
          <t>T.EQT</t>
        </is>
      </c>
      <c r="H254" s="20" t="inlineStr">
        <is>
          <t>T.TRIG</t>
        </is>
      </c>
      <c r="I254" s="20" t="inlineStr">
        <is>
          <t>Résoudre dans [0 ; π] l'inéquation cos x ≤ -1/2</t>
        </is>
      </c>
    </row>
    <row r="255">
      <c r="A255" s="22" t="inlineStr">
        <is>
          <t>tleD</t>
        </is>
      </c>
      <c r="B255" s="23" t="inlineStr">
        <is>
          <t>D1</t>
        </is>
      </c>
      <c r="C255" s="23" t="inlineStr">
        <is>
          <t>A</t>
        </is>
      </c>
      <c r="D255" s="23" t="n">
        <v>1</v>
      </c>
      <c r="E255" s="22" t="inlineStr">
        <is>
          <t>qcm</t>
        </is>
      </c>
      <c r="F255" s="22" t="inlineStr">
        <is>
          <t>D-a</t>
        </is>
      </c>
      <c r="G255" s="22" t="inlineStr">
        <is>
          <t>D.DEN</t>
        </is>
      </c>
      <c r="H255" s="22" t="n"/>
      <c r="I255" s="22" t="inlineStr">
        <is>
          <t>Dénombrer les choix de 3 élèves parmi 12 au lycée de Réo (QCM)</t>
        </is>
      </c>
    </row>
    <row r="256">
      <c r="A256" s="20" t="inlineStr">
        <is>
          <t>tleD</t>
        </is>
      </c>
      <c r="B256" s="21" t="inlineStr">
        <is>
          <t>G1</t>
        </is>
      </c>
      <c r="C256" s="21" t="inlineStr">
        <is>
          <t>A</t>
        </is>
      </c>
      <c r="D256" s="21" t="n">
        <v>1</v>
      </c>
      <c r="E256" s="20" t="inlineStr">
        <is>
          <t>qcm</t>
        </is>
      </c>
      <c r="F256" s="20" t="inlineStr">
        <is>
          <t>G-a</t>
        </is>
      </c>
      <c r="G256" s="20" t="inlineStr">
        <is>
          <t>G.PS</t>
        </is>
      </c>
      <c r="H256" s="20" t="n"/>
      <c r="I256" s="20" t="inlineStr">
        <is>
          <t>Trouver m pour que u(m ; 3) et v(4 ; -2) soient orthogonaux (QCM)</t>
        </is>
      </c>
    </row>
    <row r="257">
      <c r="A257" s="22" t="inlineStr">
        <is>
          <t>tleD</t>
        </is>
      </c>
      <c r="B257" s="23" t="inlineStr">
        <is>
          <t>G2</t>
        </is>
      </c>
      <c r="C257" s="23" t="inlineStr">
        <is>
          <t>A</t>
        </is>
      </c>
      <c r="D257" s="23" t="n">
        <v>1</v>
      </c>
      <c r="E257" s="22" t="inlineStr">
        <is>
          <t>court</t>
        </is>
      </c>
      <c r="F257" s="22" t="inlineStr">
        <is>
          <t>G-b</t>
        </is>
      </c>
      <c r="G257" s="22" t="inlineStr">
        <is>
          <t>G.ESP</t>
        </is>
      </c>
      <c r="H257" s="22" t="n"/>
      <c r="I257" s="22" t="inlineStr">
        <is>
          <t>Calculer la diagonale AG d'un pavé droit de dimensions 6 cm, 6 cm et 7 cm</t>
        </is>
      </c>
    </row>
    <row r="258">
      <c r="A258" s="20" t="inlineStr">
        <is>
          <t>tleD</t>
        </is>
      </c>
      <c r="B258" s="21" t="inlineStr">
        <is>
          <t>L4</t>
        </is>
      </c>
      <c r="C258" s="21" t="inlineStr">
        <is>
          <t>B</t>
        </is>
      </c>
      <c r="D258" s="21" t="n">
        <v>2</v>
      </c>
      <c r="E258" s="20" t="inlineStr">
        <is>
          <t>rédigé</t>
        </is>
      </c>
      <c r="F258" s="20" t="inlineStr">
        <is>
          <t>L-a</t>
        </is>
      </c>
      <c r="G258" s="20" t="inlineStr">
        <is>
          <t>L.POLY</t>
        </is>
      </c>
      <c r="H258" s="20" t="n"/>
      <c r="I258" s="20" t="inlineStr">
        <is>
          <t>Trouver a si 2 est racine de x³ + ax² - 7x + 6, puis juger si 1 est racine (Moussa)</t>
        </is>
      </c>
    </row>
    <row r="259">
      <c r="A259" s="22" t="inlineStr">
        <is>
          <t>tleD</t>
        </is>
      </c>
      <c r="B259" s="23" t="inlineStr">
        <is>
          <t>L5</t>
        </is>
      </c>
      <c r="C259" s="23" t="inlineStr">
        <is>
          <t>B</t>
        </is>
      </c>
      <c r="D259" s="23" t="n">
        <v>2</v>
      </c>
      <c r="E259" s="22" t="inlineStr">
        <is>
          <t>rédigé</t>
        </is>
      </c>
      <c r="F259" s="22" t="inlineStr">
        <is>
          <t>L-b</t>
        </is>
      </c>
      <c r="G259" s="22" t="inlineStr">
        <is>
          <t>L.RATF</t>
        </is>
      </c>
      <c r="H259" s="22" t="inlineStr">
        <is>
          <t>L.INEQ2</t>
        </is>
      </c>
      <c r="I259" s="22" t="inlineStr">
        <is>
          <t>Donner le signe de (x - 3)(x + 2)/(2x - 1) sur ]1/2 ; 3[, juger si -2 résout f(x) ≤ 0</t>
        </is>
      </c>
    </row>
    <row r="260">
      <c r="A260" s="20" t="inlineStr">
        <is>
          <t>tleD</t>
        </is>
      </c>
      <c r="B260" s="21" t="inlineStr">
        <is>
          <t>L6</t>
        </is>
      </c>
      <c r="C260" s="21" t="inlineStr">
        <is>
          <t>B</t>
        </is>
      </c>
      <c r="D260" s="21" t="n">
        <v>2</v>
      </c>
      <c r="E260" s="20" t="inlineStr">
        <is>
          <t>rédigé</t>
        </is>
      </c>
      <c r="F260" s="20" t="inlineStr">
        <is>
          <t>L-c</t>
        </is>
      </c>
      <c r="G260" s="20" t="inlineStr">
        <is>
          <t>L.EQ2</t>
        </is>
      </c>
      <c r="H260" s="20" t="n"/>
      <c r="I260" s="20" t="inlineStr">
        <is>
          <t>Trouver m pour une solution double de x² + (m - 1)x + 4 = 0, juger le cas m = 0</t>
        </is>
      </c>
    </row>
    <row r="261">
      <c r="A261" s="22" t="inlineStr">
        <is>
          <t>tleD</t>
        </is>
      </c>
      <c r="B261" s="23" t="inlineStr">
        <is>
          <t>F9</t>
        </is>
      </c>
      <c r="C261" s="23" t="inlineStr">
        <is>
          <t>B</t>
        </is>
      </c>
      <c r="D261" s="23" t="n">
        <v>2</v>
      </c>
      <c r="E261" s="22" t="inlineStr">
        <is>
          <t>rédigé</t>
        </is>
      </c>
      <c r="F261" s="22" t="inlineStr">
        <is>
          <t>F-a</t>
        </is>
      </c>
      <c r="G261" s="22" t="inlineStr">
        <is>
          <t>F.PAR</t>
        </is>
      </c>
      <c r="H261" s="22" t="inlineStr">
        <is>
          <t>F.DEF</t>
        </is>
      </c>
      <c r="I261" s="22" t="inlineStr">
        <is>
          <t>Déterminer D pour x/√(9 - x²) et juger l'affirmation « f est paire » (Talato)</t>
        </is>
      </c>
    </row>
    <row r="262">
      <c r="A262" s="20" t="inlineStr">
        <is>
          <t>tleD</t>
        </is>
      </c>
      <c r="B262" s="21" t="inlineStr">
        <is>
          <t>F10</t>
        </is>
      </c>
      <c r="C262" s="21" t="inlineStr">
        <is>
          <t>B</t>
        </is>
      </c>
      <c r="D262" s="21" t="n">
        <v>2</v>
      </c>
      <c r="E262" s="20" t="inlineStr">
        <is>
          <t>rédigé</t>
        </is>
      </c>
      <c r="F262" s="20" t="inlineStr">
        <is>
          <t>F-b</t>
        </is>
      </c>
      <c r="G262" s="20" t="inlineStr">
        <is>
          <t>F.LIM</t>
        </is>
      </c>
      <c r="H262" s="20" t="n"/>
      <c r="I262" s="20" t="inlineStr">
        <is>
          <t>Trouver a pour une limite finie en 2 de (x² + ax - 6)/(x - 2), juger le cas a = 2</t>
        </is>
      </c>
    </row>
    <row r="263">
      <c r="A263" s="22" t="inlineStr">
        <is>
          <t>tleD</t>
        </is>
      </c>
      <c r="B263" s="23" t="inlineStr">
        <is>
          <t>F11</t>
        </is>
      </c>
      <c r="C263" s="23" t="inlineStr">
        <is>
          <t>B</t>
        </is>
      </c>
      <c r="D263" s="23" t="n">
        <v>2</v>
      </c>
      <c r="E263" s="22" t="inlineStr">
        <is>
          <t>rédigé</t>
        </is>
      </c>
      <c r="F263" s="22" t="inlineStr">
        <is>
          <t>F-c</t>
        </is>
      </c>
      <c r="G263" s="22" t="inlineStr">
        <is>
          <t>F.ASY</t>
        </is>
      </c>
      <c r="H263" s="22" t="n"/>
      <c r="I263" s="22" t="inlineStr">
        <is>
          <t>Donner les asymptotes de 2x - 1 + 3/(x - 1), juger si la courbe coupe l'oblique</t>
        </is>
      </c>
    </row>
    <row r="264">
      <c r="A264" s="20" t="inlineStr">
        <is>
          <t>tleD</t>
        </is>
      </c>
      <c r="B264" s="21" t="inlineStr">
        <is>
          <t>F12</t>
        </is>
      </c>
      <c r="C264" s="21" t="inlineStr">
        <is>
          <t>B</t>
        </is>
      </c>
      <c r="D264" s="21" t="n">
        <v>2</v>
      </c>
      <c r="E264" s="20" t="inlineStr">
        <is>
          <t>rédigé</t>
        </is>
      </c>
      <c r="F264" s="20" t="inlineStr">
        <is>
          <t>F-d</t>
        </is>
      </c>
      <c r="G264" s="20" t="inlineStr">
        <is>
          <t>F.DER</t>
        </is>
      </c>
      <c r="H264" s="20" t="n"/>
      <c r="I264" s="20" t="inlineStr">
        <is>
          <t>Trouver a et b pour x³ + ax² + bx avec f'(0) = 1 et f'(1) = 0, puis calculer f'(2)</t>
        </is>
      </c>
    </row>
    <row r="265">
      <c r="A265" s="22" t="inlineStr">
        <is>
          <t>tleD</t>
        </is>
      </c>
      <c r="B265" s="23" t="inlineStr">
        <is>
          <t>F13</t>
        </is>
      </c>
      <c r="C265" s="23" t="inlineStr">
        <is>
          <t>B</t>
        </is>
      </c>
      <c r="D265" s="23" t="n">
        <v>2</v>
      </c>
      <c r="E265" s="22" t="inlineStr">
        <is>
          <t>rédigé</t>
        </is>
      </c>
      <c r="F265" s="22" t="inlineStr">
        <is>
          <t>F-e</t>
        </is>
      </c>
      <c r="G265" s="22" t="inlineStr">
        <is>
          <t>F.TAN</t>
        </is>
      </c>
      <c r="H265" s="22" t="inlineStr">
        <is>
          <t>F.DER</t>
        </is>
      </c>
      <c r="I265" s="22" t="inlineStr">
        <is>
          <t>Trouver la tangente à x³ - 3x² + 2 parallèle à la droite y = -3x + 1</t>
        </is>
      </c>
    </row>
    <row r="266">
      <c r="A266" s="20" t="inlineStr">
        <is>
          <t>tleD</t>
        </is>
      </c>
      <c r="B266" s="21" t="inlineStr">
        <is>
          <t>F14</t>
        </is>
      </c>
      <c r="C266" s="21" t="inlineStr">
        <is>
          <t>B</t>
        </is>
      </c>
      <c r="D266" s="21" t="n">
        <v>2</v>
      </c>
      <c r="E266" s="20" t="inlineStr">
        <is>
          <t>rédigé</t>
        </is>
      </c>
      <c r="F266" s="20" t="inlineStr">
        <is>
          <t>F-f</t>
        </is>
      </c>
      <c r="G266" s="20" t="inlineStr">
        <is>
          <t>F.VAR</t>
        </is>
      </c>
      <c r="H266" s="20" t="n"/>
      <c r="I266" s="20" t="inlineStr">
        <is>
          <t>Etudier f'(x) = 6(x - 1)(x - 2) sur [0 ; 1], juger « f croissante sur [0 ; 3] »</t>
        </is>
      </c>
    </row>
    <row r="267">
      <c r="A267" s="22" t="inlineStr">
        <is>
          <t>tleD</t>
        </is>
      </c>
      <c r="B267" s="23" t="inlineStr">
        <is>
          <t>S4</t>
        </is>
      </c>
      <c r="C267" s="23" t="inlineStr">
        <is>
          <t>B</t>
        </is>
      </c>
      <c r="D267" s="23" t="n">
        <v>2</v>
      </c>
      <c r="E267" s="22" t="inlineStr">
        <is>
          <t>rédigé</t>
        </is>
      </c>
      <c r="F267" s="22" t="inlineStr">
        <is>
          <t>S-a</t>
        </is>
      </c>
      <c r="G267" s="22" t="inlineStr">
        <is>
          <t>S.SUI</t>
        </is>
      </c>
      <c r="H267" s="22" t="n"/>
      <c r="I267" s="22" t="inlineStr">
        <is>
          <t>Calculer la raison avec u₃ = 7 et u₈ = 22, puis dire si 100 est un terme</t>
        </is>
      </c>
    </row>
    <row r="268">
      <c r="A268" s="20" t="inlineStr">
        <is>
          <t>tleD</t>
        </is>
      </c>
      <c r="B268" s="21" t="inlineStr">
        <is>
          <t>S5</t>
        </is>
      </c>
      <c r="C268" s="21" t="inlineStr">
        <is>
          <t>B</t>
        </is>
      </c>
      <c r="D268" s="21" t="n">
        <v>2</v>
      </c>
      <c r="E268" s="20" t="inlineStr">
        <is>
          <t>rédigé</t>
        </is>
      </c>
      <c r="F268" s="20" t="inlineStr">
        <is>
          <t>S-b</t>
        </is>
      </c>
      <c r="G268" s="20" t="inlineStr">
        <is>
          <t>S.REC</t>
        </is>
      </c>
      <c r="H268" s="20" t="inlineStr">
        <is>
          <t>N.PUI</t>
        </is>
      </c>
      <c r="I268" s="20" t="inlineStr">
        <is>
          <t>Etablir l'hérédité de uₙ = 2 × 3ⁿ - 1 pour uₙ₊₁ = 3uₙ + 2, juger Aminata</t>
        </is>
      </c>
    </row>
    <row r="269">
      <c r="A269" s="22" t="inlineStr">
        <is>
          <t>tleD</t>
        </is>
      </c>
      <c r="B269" s="23" t="inlineStr">
        <is>
          <t>T3</t>
        </is>
      </c>
      <c r="C269" s="23" t="inlineStr">
        <is>
          <t>B</t>
        </is>
      </c>
      <c r="D269" s="23" t="n">
        <v>2</v>
      </c>
      <c r="E269" s="22" t="inlineStr">
        <is>
          <t>rédigé</t>
        </is>
      </c>
      <c r="F269" s="22" t="inlineStr">
        <is>
          <t>T-a</t>
        </is>
      </c>
      <c r="G269" s="22" t="inlineStr">
        <is>
          <t>T.TRIG</t>
        </is>
      </c>
      <c r="H269" s="22" t="n"/>
      <c r="I269" s="22" t="inlineStr">
        <is>
          <t>Calculer sin x avec cos x = 3/5 et x dans ]0 ; π/2[, puis sin(x + π/3)</t>
        </is>
      </c>
    </row>
    <row r="270">
      <c r="A270" s="20" t="inlineStr">
        <is>
          <t>tleD</t>
        </is>
      </c>
      <c r="B270" s="21" t="inlineStr">
        <is>
          <t>D2</t>
        </is>
      </c>
      <c r="C270" s="21" t="inlineStr">
        <is>
          <t>B</t>
        </is>
      </c>
      <c r="D270" s="21" t="n">
        <v>2</v>
      </c>
      <c r="E270" s="20" t="inlineStr">
        <is>
          <t>rédigé</t>
        </is>
      </c>
      <c r="F270" s="20" t="inlineStr">
        <is>
          <t>D-a</t>
        </is>
      </c>
      <c r="G270" s="20" t="inlineStr">
        <is>
          <t>D.DEN</t>
        </is>
      </c>
      <c r="H270" s="20" t="n"/>
      <c r="I270" s="20" t="inlineStr">
        <is>
          <t>Dénombrer les comités de 5 avec au moins 4 femmes (6 femmes, 4 hommes, Sapone)</t>
        </is>
      </c>
    </row>
    <row r="271">
      <c r="A271" s="22" t="inlineStr">
        <is>
          <t>tleD</t>
        </is>
      </c>
      <c r="B271" s="23" t="inlineStr">
        <is>
          <t>G3</t>
        </is>
      </c>
      <c r="C271" s="23" t="inlineStr">
        <is>
          <t>B</t>
        </is>
      </c>
      <c r="D271" s="23" t="n">
        <v>2</v>
      </c>
      <c r="E271" s="22" t="inlineStr">
        <is>
          <t>rédigé</t>
        </is>
      </c>
      <c r="F271" s="22" t="inlineStr">
        <is>
          <t>G-b</t>
        </is>
      </c>
      <c r="G271" s="22" t="inlineStr">
        <is>
          <t>G.ESP</t>
        </is>
      </c>
      <c r="H271" s="22" t="n"/>
      <c r="I271" s="22" t="inlineStr">
        <is>
          <t>Calculer AE dans un pavé (AG = 13, AC = 5), juger « ACG rectangle en C » (Boukary)</t>
        </is>
      </c>
    </row>
    <row r="272">
      <c r="A272" s="20" t="inlineStr">
        <is>
          <t>tleD</t>
        </is>
      </c>
      <c r="B272" s="21" t="inlineStr">
        <is>
          <t>P1.1</t>
        </is>
      </c>
      <c r="C272" s="21" t="inlineStr">
        <is>
          <t>C</t>
        </is>
      </c>
      <c r="D272" s="21" t="n">
        <v>2</v>
      </c>
      <c r="E272" s="20" t="inlineStr">
        <is>
          <t>rédigé</t>
        </is>
      </c>
      <c r="F272" s="20" t="inlineStr">
        <is>
          <t>S-a</t>
        </is>
      </c>
      <c r="G272" s="20" t="inlineStr">
        <is>
          <t>S.SUI</t>
        </is>
      </c>
      <c r="H272" s="20" t="n"/>
      <c r="I272" s="20" t="inlineStr">
        <is>
          <t>Calculer u₂ et u₃ avec u₁ = 8 et uₙ₊₁ = 3uₙ - 4 (ruches de Ziniaré)</t>
        </is>
      </c>
    </row>
    <row r="273">
      <c r="A273" s="22" t="inlineStr">
        <is>
          <t>tleD</t>
        </is>
      </c>
      <c r="B273" s="23" t="inlineStr">
        <is>
          <t>P1.2</t>
        </is>
      </c>
      <c r="C273" s="23" t="inlineStr">
        <is>
          <t>C</t>
        </is>
      </c>
      <c r="D273" s="23" t="n">
        <v>3</v>
      </c>
      <c r="E273" s="22" t="inlineStr">
        <is>
          <t>rédigé</t>
        </is>
      </c>
      <c r="F273" s="22" t="inlineStr">
        <is>
          <t>S-b</t>
        </is>
      </c>
      <c r="G273" s="22" t="inlineStr">
        <is>
          <t>S.REC</t>
        </is>
      </c>
      <c r="H273" s="22" t="inlineStr">
        <is>
          <t>N.PUI</t>
        </is>
      </c>
      <c r="I273" s="22" t="inlineStr">
        <is>
          <t>Etablir l'hérédité de uₙ = 2 × 3ⁿ + 2 et conclure la récurrence (ruches)</t>
        </is>
      </c>
    </row>
    <row r="274">
      <c r="A274" s="20" t="inlineStr">
        <is>
          <t>tleD</t>
        </is>
      </c>
      <c r="B274" s="21" t="inlineStr">
        <is>
          <t>P1.3</t>
        </is>
      </c>
      <c r="C274" s="21" t="inlineStr">
        <is>
          <t>C</t>
        </is>
      </c>
      <c r="D274" s="21" t="n">
        <v>3</v>
      </c>
      <c r="E274" s="20" t="inlineStr">
        <is>
          <t>rédigé</t>
        </is>
      </c>
      <c r="F274" s="20" t="inlineStr">
        <is>
          <t>D-a</t>
        </is>
      </c>
      <c r="G274" s="20" t="inlineStr">
        <is>
          <t>D.DEN</t>
        </is>
      </c>
      <c r="H274" s="20" t="inlineStr">
        <is>
          <t>S.SUI</t>
        </is>
      </c>
      <c r="I274" s="20" t="inlineStr">
        <is>
          <t>Dénombrer 3 ruches parmi 15, juger « plus de 500 ruches la 5e année » (488)</t>
        </is>
      </c>
    </row>
    <row r="275">
      <c r="A275" s="22" t="inlineStr">
        <is>
          <t>tleD</t>
        </is>
      </c>
      <c r="B275" s="23" t="inlineStr">
        <is>
          <t>P2.1</t>
        </is>
      </c>
      <c r="C275" s="23" t="inlineStr">
        <is>
          <t>C</t>
        </is>
      </c>
      <c r="D275" s="23" t="n">
        <v>2</v>
      </c>
      <c r="E275" s="22" t="inlineStr">
        <is>
          <t>rédigé</t>
        </is>
      </c>
      <c r="F275" s="22" t="inlineStr">
        <is>
          <t>F-d</t>
        </is>
      </c>
      <c r="G275" s="22" t="inlineStr">
        <is>
          <t>F.DER</t>
        </is>
      </c>
      <c r="H275" s="22" t="inlineStr">
        <is>
          <t>L.RATF</t>
        </is>
      </c>
      <c r="I275" s="22" t="inlineStr">
        <is>
          <t>Montrer que C'(x) = (x² - 9)/x² pour C(x) = x + 9/x + 4, étudier son signe sur [1 ; 9]</t>
        </is>
      </c>
    </row>
    <row r="276">
      <c r="A276" s="20" t="inlineStr">
        <is>
          <t>tleD</t>
        </is>
      </c>
      <c r="B276" s="21" t="inlineStr">
        <is>
          <t>P2.2</t>
        </is>
      </c>
      <c r="C276" s="21" t="inlineStr">
        <is>
          <t>C</t>
        </is>
      </c>
      <c r="D276" s="21" t="n">
        <v>3</v>
      </c>
      <c r="E276" s="20" t="inlineStr">
        <is>
          <t>rédigé</t>
        </is>
      </c>
      <c r="F276" s="20" t="inlineStr">
        <is>
          <t>F-f</t>
        </is>
      </c>
      <c r="G276" s="20" t="inlineStr">
        <is>
          <t>F.VAR</t>
        </is>
      </c>
      <c r="H276" s="20" t="n"/>
      <c r="I276" s="20" t="inlineStr">
        <is>
          <t>Dresser le tableau de variation de C sur [1 ; 9] (C(1) = 14, C(3) = 10, C(9) = 14)</t>
        </is>
      </c>
    </row>
    <row r="277">
      <c r="A277" s="22" t="inlineStr">
        <is>
          <t>tleD</t>
        </is>
      </c>
      <c r="B277" s="23" t="inlineStr">
        <is>
          <t>P2.3</t>
        </is>
      </c>
      <c r="C277" s="23" t="inlineStr">
        <is>
          <t>C</t>
        </is>
      </c>
      <c r="D277" s="23" t="n">
        <v>3</v>
      </c>
      <c r="E277" s="22" t="inlineStr">
        <is>
          <t>rédigé</t>
        </is>
      </c>
      <c r="F277" s="22" t="inlineStr">
        <is>
          <t>F-f</t>
        </is>
      </c>
      <c r="G277" s="22" t="inlineStr">
        <is>
          <t>F.VAR</t>
        </is>
      </c>
      <c r="H277" s="22" t="n"/>
      <c r="I277" s="22" t="inlineStr">
        <is>
          <t>Juger « 9 t moins chères par tonne que 1 t » (Fatimata), donner la production optimale</t>
        </is>
      </c>
    </row>
    <row r="278">
      <c r="A278" s="20" t="inlineStr">
        <is>
          <t>tleD</t>
        </is>
      </c>
      <c r="B278" s="21" t="inlineStr">
        <is>
          <t>P3.1</t>
        </is>
      </c>
      <c r="C278" s="21" t="inlineStr">
        <is>
          <t>C</t>
        </is>
      </c>
      <c r="D278" s="21" t="n">
        <v>2</v>
      </c>
      <c r="E278" s="20" t="inlineStr">
        <is>
          <t>rédigé</t>
        </is>
      </c>
      <c r="F278" s="20" t="inlineStr">
        <is>
          <t>T-a</t>
        </is>
      </c>
      <c r="G278" s="20" t="inlineStr">
        <is>
          <t>T.TRIG</t>
        </is>
      </c>
      <c r="H278" s="20" t="inlineStr">
        <is>
          <t>F.GRA</t>
        </is>
      </c>
      <c r="I278" s="20" t="inlineStr">
        <is>
          <t>Calculer h(0), h(3) pour h(t) = 3 + 2sin(πt/6), donner la hauteur maximale et l'heure</t>
        </is>
      </c>
    </row>
    <row r="279">
      <c r="A279" s="22" t="inlineStr">
        <is>
          <t>tleD</t>
        </is>
      </c>
      <c r="B279" s="23" t="inlineStr">
        <is>
          <t>P3.2</t>
        </is>
      </c>
      <c r="C279" s="23" t="inlineStr">
        <is>
          <t>C</t>
        </is>
      </c>
      <c r="D279" s="23" t="n">
        <v>3</v>
      </c>
      <c r="E279" s="22" t="inlineStr">
        <is>
          <t>rédigé</t>
        </is>
      </c>
      <c r="F279" s="22" t="inlineStr">
        <is>
          <t>T-b</t>
        </is>
      </c>
      <c r="G279" s="22" t="inlineStr">
        <is>
          <t>T.EQT</t>
        </is>
      </c>
      <c r="H279" s="22" t="n"/>
      <c r="I279" s="22" t="inlineStr">
        <is>
          <t>Résoudre dans [0 ; 12[ l'inéquation 3 + 2sin(πt/6) ≥ 4 (canal de Bagré)</t>
        </is>
      </c>
    </row>
    <row r="280">
      <c r="A280" s="20" t="inlineStr">
        <is>
          <t>tleD</t>
        </is>
      </c>
      <c r="B280" s="21" t="inlineStr">
        <is>
          <t>P3.3</t>
        </is>
      </c>
      <c r="C280" s="21" t="inlineStr">
        <is>
          <t>C</t>
        </is>
      </c>
      <c r="D280" s="21" t="n">
        <v>3</v>
      </c>
      <c r="E280" s="20" t="inlineStr">
        <is>
          <t>rédigé</t>
        </is>
      </c>
      <c r="F280" s="20" t="inlineStr">
        <is>
          <t>F-g</t>
        </is>
      </c>
      <c r="G280" s="20" t="inlineStr">
        <is>
          <t>F.GRA</t>
        </is>
      </c>
      <c r="H280" s="20" t="inlineStr">
        <is>
          <t>T.EQT</t>
        </is>
      </c>
      <c r="I280" s="20" t="inlineStr">
        <is>
          <t>Déduire la durée où h ≥ 4 m (h = 4 à 1 h et 5 h), juger « 5 heures » (Zénabou)</t>
        </is>
      </c>
    </row>
    <row r="281">
      <c r="A281" s="22" t="inlineStr">
        <is>
          <t>tleD</t>
        </is>
      </c>
      <c r="B281" s="23" t="inlineStr">
        <is>
          <t>P4.1</t>
        </is>
      </c>
      <c r="C281" s="23" t="inlineStr">
        <is>
          <t>C</t>
        </is>
      </c>
      <c r="D281" s="23" t="n">
        <v>2</v>
      </c>
      <c r="E281" s="22" t="inlineStr">
        <is>
          <t>rédigé</t>
        </is>
      </c>
      <c r="F281" s="22" t="inlineStr">
        <is>
          <t>N-a</t>
        </is>
      </c>
      <c r="G281" s="22" t="inlineStr">
        <is>
          <t>N.RAC</t>
        </is>
      </c>
      <c r="H281" s="22" t="inlineStr">
        <is>
          <t>G.PS</t>
        </is>
      </c>
      <c r="I281" s="22" t="inlineStr">
        <is>
          <t>Calculer les valeurs exactes de AB et AC pour A(-2 ; 1), B(4 ; 3), C(0 ; 7)</t>
        </is>
      </c>
    </row>
    <row r="282">
      <c r="A282" s="20" t="inlineStr">
        <is>
          <t>tleD</t>
        </is>
      </c>
      <c r="B282" s="21" t="inlineStr">
        <is>
          <t>P4.2</t>
        </is>
      </c>
      <c r="C282" s="21" t="inlineStr">
        <is>
          <t>C</t>
        </is>
      </c>
      <c r="D282" s="21" t="n">
        <v>3</v>
      </c>
      <c r="E282" s="20" t="inlineStr">
        <is>
          <t>rédigé</t>
        </is>
      </c>
      <c r="F282" s="20" t="inlineStr">
        <is>
          <t>G-a</t>
        </is>
      </c>
      <c r="G282" s="20" t="inlineStr">
        <is>
          <t>G.PS</t>
        </is>
      </c>
      <c r="H282" s="20" t="n"/>
      <c r="I282" s="20" t="inlineStr">
        <is>
          <t>Calculer le produit scalaire AB→ · AC→ pour A(-2 ; 1), B(4 ; 3), C(0 ; 7) (Ouahigouya)</t>
        </is>
      </c>
    </row>
    <row r="283">
      <c r="A283" s="22" t="inlineStr">
        <is>
          <t>tleD</t>
        </is>
      </c>
      <c r="B283" s="23" t="inlineStr">
        <is>
          <t>P4.3</t>
        </is>
      </c>
      <c r="C283" s="23" t="inlineStr">
        <is>
          <t>C</t>
        </is>
      </c>
      <c r="D283" s="23" t="n">
        <v>3</v>
      </c>
      <c r="E283" s="22" t="inlineStr">
        <is>
          <t>rédigé</t>
        </is>
      </c>
      <c r="F283" s="22" t="inlineStr">
        <is>
          <t>G-a</t>
        </is>
      </c>
      <c r="G283" s="22" t="inlineStr">
        <is>
          <t>G.PS</t>
        </is>
      </c>
      <c r="H283" s="22" t="n"/>
      <c r="I283" s="22" t="inlineStr">
        <is>
          <t>Juger « ABC isocèle et rectangle en A » (Salif) sachant AB = AC et AB→ · AC→ = 24</t>
        </is>
      </c>
    </row>
  </sheetData>
  <autoFilter ref="A1:I28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42"/>
  <sheetViews>
    <sheetView workbookViewId="0">
      <pane ySplit="1" topLeftCell="A2" activePane="bottomLeft" state="frozen"/>
      <selection pane="bottomLeft" activeCell="A1" sqref="A1"/>
    </sheetView>
  </sheetViews>
  <sheetFormatPr baseColWidth="8" defaultRowHeight="15"/>
  <cols>
    <col width="15" customWidth="1" style="10" min="1" max="1"/>
    <col width="11" customWidth="1" style="10" min="2" max="2"/>
    <col width="18" customWidth="1" style="10" min="3" max="3"/>
    <col width="13" customWidth="1" style="10" min="4" max="4"/>
    <col width="62" customWidth="1" style="10" min="5" max="5"/>
    <col width="62" customWidth="1" style="10" min="6" max="6"/>
  </cols>
  <sheetData>
    <row r="1" ht="30" customHeight="1" s="10">
      <c r="A1" s="19" t="inlineStr">
        <is>
          <t>Niveau du test</t>
        </is>
      </c>
      <c r="B1" s="19" t="inlineStr">
        <is>
          <t>Code question</t>
        </is>
      </c>
      <c r="C1" s="19" t="inlineStr">
        <is>
          <t>Compétence</t>
        </is>
      </c>
      <c r="D1" s="19" t="inlineStr">
        <is>
          <t>Type d'erreur</t>
        </is>
      </c>
      <c r="E1" s="19" t="inlineStr">
        <is>
          <t>Ce qu'on lit sur la copie</t>
        </is>
      </c>
      <c r="F1" s="19" t="inlineStr">
        <is>
          <t>Lacune révélée</t>
        </is>
      </c>
    </row>
    <row r="2">
      <c r="A2" s="20" t="inlineStr">
        <is>
          <t>6eme</t>
        </is>
      </c>
      <c r="B2" s="21" t="inlineStr">
        <is>
          <t>N1</t>
        </is>
      </c>
      <c r="C2" s="20" t="inlineStr">
        <is>
          <t>N.CMP</t>
        </is>
      </c>
      <c r="D2" s="21" t="inlineStr">
        <is>
          <t>CPT</t>
        </is>
      </c>
      <c r="E2" s="20" t="inlineStr">
        <is>
          <t>Ecrit 9,081 ; 9,08 ; 9,8 ; 9,1</t>
        </is>
      </c>
      <c r="F2" s="20" t="inlineStr">
        <is>
          <t>Le nombre le plus long est jugé le plus grand : la partie décimale est lue comme un entier (81 &gt; 8 &gt; 1).</t>
        </is>
      </c>
    </row>
    <row r="3">
      <c r="A3" s="22" t="inlineStr">
        <is>
          <t>6eme</t>
        </is>
      </c>
      <c r="B3" s="23" t="inlineStr">
        <is>
          <t>N1</t>
        </is>
      </c>
      <c r="C3" s="22" t="inlineStr">
        <is>
          <t>N.CMP</t>
        </is>
      </c>
      <c r="D3" s="23" t="inlineStr">
        <is>
          <t>CPT</t>
        </is>
      </c>
      <c r="E3" s="22" t="inlineStr">
        <is>
          <t>Ecrit 9,8 ; 9,1 ; 9,08 ; 9,081</t>
        </is>
      </c>
      <c r="F3" s="22" t="inlineStr">
        <is>
          <t>Le nombre qui a le moins de chiffres après la virgule est jugé le plus grand (9,8 et 9,1, puis 9,08, puis 9,081) : règle fausse appliquée de façon cohérente.</t>
        </is>
      </c>
    </row>
    <row r="4">
      <c r="A4" s="20" t="inlineStr">
        <is>
          <t>6eme</t>
        </is>
      </c>
      <c r="B4" s="21" t="inlineStr">
        <is>
          <t>N1</t>
        </is>
      </c>
      <c r="C4" s="20" t="inlineStr">
        <is>
          <t>N.CMP</t>
        </is>
      </c>
      <c r="D4" s="21" t="inlineStr">
        <is>
          <t>CNS</t>
        </is>
      </c>
      <c r="E4" s="20" t="inlineStr">
        <is>
          <t>Ecrit 9,08 ; 9,081 ; 9,1 ; 9,8</t>
        </is>
      </c>
      <c r="F4" s="20" t="inlineStr">
        <is>
          <t>Le rangement est juste mais croissant : le sens du mot « décroissant » n'est pas disponible.</t>
        </is>
      </c>
    </row>
    <row r="5">
      <c r="A5" s="22" t="inlineStr">
        <is>
          <t>6eme</t>
        </is>
      </c>
      <c r="B5" s="23" t="inlineStr">
        <is>
          <t>N2</t>
        </is>
      </c>
      <c r="C5" s="22" t="inlineStr">
        <is>
          <t>N.NUM</t>
        </is>
      </c>
      <c r="D5" s="23" t="inlineStr">
        <is>
          <t>CPT</t>
        </is>
      </c>
      <c r="E5" s="22" t="inlineStr">
        <is>
          <t>Entoure a) 5,09</t>
        </is>
      </c>
      <c r="F5" s="22" t="inlineStr">
        <is>
          <t>Les rangs de la partie entière et de la partie décimale sont confondus : erreur de notion, reproductible.</t>
        </is>
      </c>
    </row>
    <row r="6">
      <c r="A6" s="20" t="inlineStr">
        <is>
          <t>6eme</t>
        </is>
      </c>
      <c r="B6" s="21" t="inlineStr">
        <is>
          <t>N2</t>
        </is>
      </c>
      <c r="C6" s="20" t="inlineStr">
        <is>
          <t>N.NUM</t>
        </is>
      </c>
      <c r="D6" s="21" t="inlineStr">
        <is>
          <t>CPT</t>
        </is>
      </c>
      <c r="E6" s="20" t="inlineStr">
        <is>
          <t>Entoure b) 509</t>
        </is>
      </c>
      <c r="F6" s="20" t="inlineStr">
        <is>
          <t>Le mot « centièmes » est associé à « cent » : la valeur de position des chiffres après la virgule n'est pas comprise.</t>
        </is>
      </c>
    </row>
    <row r="7">
      <c r="A7" s="22" t="inlineStr">
        <is>
          <t>6eme</t>
        </is>
      </c>
      <c r="B7" s="23" t="inlineStr">
        <is>
          <t>N2</t>
        </is>
      </c>
      <c r="C7" s="22" t="inlineStr">
        <is>
          <t>N.NUM</t>
        </is>
      </c>
      <c r="D7" s="23" t="inlineStr">
        <is>
          <t>PRC</t>
        </is>
      </c>
      <c r="E7" s="22" t="inlineStr">
        <is>
          <t>Entoure c) 500,9</t>
        </is>
      </c>
      <c r="F7" s="22" t="inlineStr">
        <is>
          <t>Le rang des centièmes est connu mais le zéro de position est oublié à l'écriture : exécution fautive.</t>
        </is>
      </c>
    </row>
    <row r="8">
      <c r="A8" s="20" t="inlineStr">
        <is>
          <t>6eme</t>
        </is>
      </c>
      <c r="B8" s="21" t="inlineStr">
        <is>
          <t>N3</t>
        </is>
      </c>
      <c r="C8" s="20" t="inlineStr">
        <is>
          <t>N.ADD</t>
        </is>
      </c>
      <c r="D8" s="21" t="inlineStr">
        <is>
          <t>CPT</t>
        </is>
      </c>
      <c r="E8" s="20" t="inlineStr">
        <is>
          <t>Ecrit 8,75</t>
        </is>
      </c>
      <c r="F8" s="20" t="inlineStr">
        <is>
          <t>Les parties entières sont soustraites (14 - 6 = 8) et la partie décimale recopiée : le décimal n'est pas traité comme un seul nombre.</t>
        </is>
      </c>
    </row>
    <row r="9">
      <c r="A9" s="22" t="inlineStr">
        <is>
          <t>6eme</t>
        </is>
      </c>
      <c r="B9" s="23" t="inlineStr">
        <is>
          <t>N3</t>
        </is>
      </c>
      <c r="C9" s="22" t="inlineStr">
        <is>
          <t>N.ADD</t>
        </is>
      </c>
      <c r="D9" s="23" t="inlineStr">
        <is>
          <t>PRC</t>
        </is>
      </c>
      <c r="E9" s="22" t="inlineStr">
        <is>
          <t>Ecrit 8,25</t>
        </is>
      </c>
      <c r="F9" s="22" t="inlineStr">
        <is>
          <t>14,00 - 6,75 est bien posé mais la dernière retenue n'est pas reportée sur les unités (14 - 6 au lieu de 14 - 7).</t>
        </is>
      </c>
    </row>
    <row r="10">
      <c r="A10" s="20" t="inlineStr">
        <is>
          <t>6eme</t>
        </is>
      </c>
      <c r="B10" s="21" t="inlineStr">
        <is>
          <t>N3</t>
        </is>
      </c>
      <c r="C10" s="20" t="inlineStr">
        <is>
          <t>N.ADD</t>
        </is>
      </c>
      <c r="D10" s="21" t="inlineStr">
        <is>
          <t>ATT</t>
        </is>
      </c>
      <c r="E10" s="20" t="inlineStr">
        <is>
          <t>Ecrit 7,43</t>
        </is>
      </c>
      <c r="F10" s="20" t="inlineStr">
        <is>
          <t>6,75 est recopié 6,57 puis la soustraction 14 - 6,57 est juste : erreur de recopie isolée.</t>
        </is>
      </c>
    </row>
    <row r="11">
      <c r="A11" s="22" t="inlineStr">
        <is>
          <t>6eme</t>
        </is>
      </c>
      <c r="B11" s="23" t="inlineStr">
        <is>
          <t>N4</t>
        </is>
      </c>
      <c r="C11" s="22" t="inlineStr">
        <is>
          <t>N.MUL</t>
        </is>
      </c>
      <c r="D11" s="23" t="inlineStr">
        <is>
          <t>PRC</t>
        </is>
      </c>
      <c r="E11" s="22" t="inlineStr">
        <is>
          <t>Ecrit 1 015</t>
        </is>
      </c>
      <c r="F11" s="22" t="inlineStr">
        <is>
          <t>Le produit 406 × 25 = 10 150 est juste mais la virgule est placée à un seul rang au lieu de deux.</t>
        </is>
      </c>
    </row>
    <row r="12">
      <c r="A12" s="20" t="inlineStr">
        <is>
          <t>6eme</t>
        </is>
      </c>
      <c r="B12" s="21" t="inlineStr">
        <is>
          <t>N4</t>
        </is>
      </c>
      <c r="C12" s="20" t="inlineStr">
        <is>
          <t>N.MUL</t>
        </is>
      </c>
      <c r="D12" s="21" t="inlineStr">
        <is>
          <t>CPT</t>
        </is>
      </c>
      <c r="E12" s="20" t="inlineStr">
        <is>
          <t>Ecrit 100,150</t>
        </is>
      </c>
      <c r="F12" s="20" t="inlineStr">
        <is>
          <t>Partie entière et partie décimale sont multipliées séparément (4 × 25 = 100 ; 6 × 25 = 150) : le décimal est vu comme deux entiers.</t>
        </is>
      </c>
    </row>
    <row r="13">
      <c r="A13" s="22" t="inlineStr">
        <is>
          <t>6eme</t>
        </is>
      </c>
      <c r="B13" s="23" t="inlineStr">
        <is>
          <t>N4</t>
        </is>
      </c>
      <c r="C13" s="22" t="inlineStr">
        <is>
          <t>N.MUL</t>
        </is>
      </c>
      <c r="D13" s="23" t="inlineStr">
        <is>
          <t>PRC</t>
        </is>
      </c>
      <c r="E13" s="22" t="inlineStr">
        <is>
          <t>Ecrit 28,42</t>
        </is>
      </c>
      <c r="F13" s="22" t="inlineStr">
        <is>
          <t>Dans 406 × 25, le second produit partiel (812) n'est pas décalé : 2 030 + 812 = 2 842.</t>
        </is>
      </c>
    </row>
    <row r="14">
      <c r="A14" s="20" t="inlineStr">
        <is>
          <t>6eme</t>
        </is>
      </c>
      <c r="B14" s="21" t="inlineStr">
        <is>
          <t>N5</t>
        </is>
      </c>
      <c r="C14" s="20" t="inlineStr">
        <is>
          <t>N.FRA1</t>
        </is>
      </c>
      <c r="D14" s="21" t="inlineStr">
        <is>
          <t>PRC</t>
        </is>
      </c>
      <c r="E14" s="20" t="inlineStr">
        <is>
          <t>Entoure a) 15 kg</t>
        </is>
      </c>
      <c r="F14" s="20" t="inlineStr">
        <is>
          <t>La démarche « diviser par 4 » est juste mais la seconde étape est omise : erreur d'exécution.</t>
        </is>
      </c>
    </row>
    <row r="15">
      <c r="A15" s="22" t="inlineStr">
        <is>
          <t>6eme</t>
        </is>
      </c>
      <c r="B15" s="23" t="inlineStr">
        <is>
          <t>N5</t>
        </is>
      </c>
      <c r="C15" s="22" t="inlineStr">
        <is>
          <t>N.FRA1</t>
        </is>
      </c>
      <c r="D15" s="23" t="inlineStr">
        <is>
          <t>CPT</t>
        </is>
      </c>
      <c r="E15" s="22" t="inlineStr">
        <is>
          <t>Entoure b) 20 kg</t>
        </is>
      </c>
      <c r="F15" s="22" t="inlineStr">
        <is>
          <t>Diviser par le numérateur révèle que le sens de la fraction d'une quantité n'est pas compris.</t>
        </is>
      </c>
    </row>
    <row r="16">
      <c r="A16" s="20" t="inlineStr">
        <is>
          <t>6eme</t>
        </is>
      </c>
      <c r="B16" s="21" t="inlineStr">
        <is>
          <t>N5</t>
        </is>
      </c>
      <c r="C16" s="20" t="inlineStr">
        <is>
          <t>N.FRA1</t>
        </is>
      </c>
      <c r="D16" s="21" t="inlineStr">
        <is>
          <t>CPT</t>
        </is>
      </c>
      <c r="E16" s="20" t="inlineStr">
        <is>
          <t>Entoure d) 80 kg</t>
        </is>
      </c>
      <c r="F16" s="20" t="inlineStr">
        <is>
          <t>Numérateur et dénominateur sont permutés : la fraction est comprise de travers, de façon cohérente.</t>
        </is>
      </c>
    </row>
    <row r="17">
      <c r="A17" s="22" t="inlineStr">
        <is>
          <t>6eme</t>
        </is>
      </c>
      <c r="B17" s="23" t="inlineStr">
        <is>
          <t>N6</t>
        </is>
      </c>
      <c r="C17" s="22" t="inlineStr">
        <is>
          <t>N.DIVE</t>
        </is>
      </c>
      <c r="D17" s="23" t="inlineStr">
        <is>
          <t>PRC</t>
        </is>
      </c>
      <c r="E17" s="22" t="inlineStr">
        <is>
          <t>Ecrit quotient 32, reste 42</t>
        </is>
      </c>
      <c r="F17" s="22" t="inlineStr">
        <is>
          <t>Le reste 42 est plus grand que le diviseur 25 et n'est pas corrigé : le contrôle reste &lt; diviseur est oublié.</t>
        </is>
      </c>
    </row>
    <row r="18">
      <c r="A18" s="20" t="inlineStr">
        <is>
          <t>6eme</t>
        </is>
      </c>
      <c r="B18" s="21" t="inlineStr">
        <is>
          <t>N6</t>
        </is>
      </c>
      <c r="C18" s="20" t="inlineStr">
        <is>
          <t>N.DIVE</t>
        </is>
      </c>
      <c r="D18" s="21" t="inlineStr">
        <is>
          <t>CPT</t>
        </is>
      </c>
      <c r="E18" s="20" t="inlineStr">
        <is>
          <t>Ecrit 33,68</t>
        </is>
      </c>
      <c r="F18" s="20" t="inlineStr">
        <is>
          <t>La division est poursuivie après la virgule : division euclidienne et division décimale sont confondues.</t>
        </is>
      </c>
    </row>
    <row r="19">
      <c r="A19" s="22" t="inlineStr">
        <is>
          <t>6eme</t>
        </is>
      </c>
      <c r="B19" s="23" t="inlineStr">
        <is>
          <t>N6</t>
        </is>
      </c>
      <c r="C19" s="22" t="inlineStr">
        <is>
          <t>N.DIVE</t>
        </is>
      </c>
      <c r="D19" s="23" t="inlineStr">
        <is>
          <t>PRQ</t>
        </is>
      </c>
      <c r="E19" s="22" t="inlineStr">
        <is>
          <t>Ecrit quotient 33, reste 27</t>
        </is>
      </c>
      <c r="F19" s="22" t="inlineStr">
        <is>
          <t>Le quotient est juste mais 842 - 825 donne 27 : la soustraction posée avec retenue (acquis du CE1) n'est pas maîtrisée.</t>
        </is>
      </c>
    </row>
    <row r="20">
      <c r="A20" s="20" t="inlineStr">
        <is>
          <t>6eme</t>
        </is>
      </c>
      <c r="B20" s="21" t="inlineStr">
        <is>
          <t>N7</t>
        </is>
      </c>
      <c r="C20" s="20" t="inlineStr">
        <is>
          <t>N.PROB</t>
        </is>
      </c>
      <c r="D20" s="21" t="inlineStr">
        <is>
          <t>MOD</t>
        </is>
      </c>
      <c r="E20" s="20" t="inlineStr">
        <is>
          <t>Entoure a) (20 000 - 3 500) × 4</t>
        </is>
      </c>
      <c r="F20" s="20" t="inlineStr">
        <is>
          <t>La situation (un seul paiement pour 4 pagnes) n'est pas traduite par le bon enchaînement d'opérations.</t>
        </is>
      </c>
    </row>
    <row r="21">
      <c r="A21" s="22" t="inlineStr">
        <is>
          <t>6eme</t>
        </is>
      </c>
      <c r="B21" s="23" t="inlineStr">
        <is>
          <t>N7</t>
        </is>
      </c>
      <c r="C21" s="22" t="inlineStr">
        <is>
          <t>N.PROB</t>
        </is>
      </c>
      <c r="D21" s="23" t="inlineStr">
        <is>
          <t>CPT</t>
        </is>
      </c>
      <c r="E21" s="22" t="inlineStr">
        <is>
          <t>Entoure c) 4 × 3 500 - 20 000</t>
        </is>
      </c>
      <c r="F21" s="22" t="inlineStr">
        <is>
          <t>L'élève croit qu'une soustraction se lit dans n'importe quel ordre : notion fausse.</t>
        </is>
      </c>
    </row>
    <row r="22">
      <c r="A22" s="20" t="inlineStr">
        <is>
          <t>6eme</t>
        </is>
      </c>
      <c r="B22" s="21" t="inlineStr">
        <is>
          <t>N7</t>
        </is>
      </c>
      <c r="C22" s="20" t="inlineStr">
        <is>
          <t>N.PROB</t>
        </is>
      </c>
      <c r="D22" s="21" t="inlineStr">
        <is>
          <t>MOD</t>
        </is>
      </c>
      <c r="E22" s="20" t="inlineStr">
        <is>
          <t>Entoure d) 20 000 - 3 500 + 4</t>
        </is>
      </c>
      <c r="F22" s="20" t="inlineStr">
        <is>
          <t>Une quantité de pagnes est traitée comme un montant : l'énoncé n'est pas traduit en objet mathématique.</t>
        </is>
      </c>
    </row>
    <row r="23">
      <c r="A23" s="22" t="inlineStr">
        <is>
          <t>6eme</t>
        </is>
      </c>
      <c r="B23" s="23" t="inlineStr">
        <is>
          <t>M1</t>
        </is>
      </c>
      <c r="C23" s="22" t="inlineStr">
        <is>
          <t>M.CONV</t>
        </is>
      </c>
      <c r="D23" s="23" t="inlineStr">
        <is>
          <t>PRC</t>
        </is>
      </c>
      <c r="E23" s="22" t="inlineStr">
        <is>
          <t>Ecrit 30,7 cm</t>
        </is>
      </c>
      <c r="F23" s="22" t="inlineStr">
        <is>
          <t>La virgule n'est déplacée que d'un rang : la relation est connue mais mal appliquée dans le tableau de conversion.</t>
        </is>
      </c>
    </row>
    <row r="24">
      <c r="A24" s="20" t="inlineStr">
        <is>
          <t>6eme</t>
        </is>
      </c>
      <c r="B24" s="21" t="inlineStr">
        <is>
          <t>M1</t>
        </is>
      </c>
      <c r="C24" s="20" t="inlineStr">
        <is>
          <t>M.CONV</t>
        </is>
      </c>
      <c r="D24" s="21" t="inlineStr">
        <is>
          <t>CNS</t>
        </is>
      </c>
      <c r="E24" s="20" t="inlineStr">
        <is>
          <t>Ecrit 3 070 cm</t>
        </is>
      </c>
      <c r="F24" s="20" t="inlineStr">
        <is>
          <t>La relation 1 m = 100 cm n'est pas disponible : l'élève multiplie par 1 000 comme pour les millimètres.</t>
        </is>
      </c>
    </row>
    <row r="25">
      <c r="A25" s="22" t="inlineStr">
        <is>
          <t>6eme</t>
        </is>
      </c>
      <c r="B25" s="23" t="inlineStr">
        <is>
          <t>M1</t>
        </is>
      </c>
      <c r="C25" s="22" t="inlineStr">
        <is>
          <t>M.CONV</t>
        </is>
      </c>
      <c r="D25" s="23" t="inlineStr">
        <is>
          <t>CPT</t>
        </is>
      </c>
      <c r="E25" s="22" t="inlineStr">
        <is>
          <t>Ecrit 0,0307 cm</t>
        </is>
      </c>
      <c r="F25" s="22" t="inlineStr">
        <is>
          <t>La conversion est faite dans le mauvais sens : passer à une unité plus petite est associé à une division.</t>
        </is>
      </c>
    </row>
    <row r="26">
      <c r="A26" s="20" t="inlineStr">
        <is>
          <t>6eme</t>
        </is>
      </c>
      <c r="B26" s="21" t="inlineStr">
        <is>
          <t>M2</t>
        </is>
      </c>
      <c r="C26" s="20" t="inlineStr">
        <is>
          <t>N.ADD</t>
        </is>
      </c>
      <c r="D26" s="21" t="inlineStr">
        <is>
          <t>PRC</t>
        </is>
      </c>
      <c r="E26" s="20" t="inlineStr">
        <is>
          <t>Ecrit 8,9 cm</t>
        </is>
      </c>
      <c r="F26" s="20" t="inlineStr">
        <is>
          <t>Le 6 est aligné sur les dixièmes (4,5 + 0,6 + 3,8) : la formule est juste, l'addition des décimaux est mal posée.</t>
        </is>
      </c>
    </row>
    <row r="27">
      <c r="A27" s="22" t="inlineStr">
        <is>
          <t>6eme</t>
        </is>
      </c>
      <c r="B27" s="23" t="inlineStr">
        <is>
          <t>M2</t>
        </is>
      </c>
      <c r="C27" s="22" t="inlineStr">
        <is>
          <t>M.PER</t>
        </is>
      </c>
      <c r="D27" s="23" t="inlineStr">
        <is>
          <t>CPT</t>
        </is>
      </c>
      <c r="E27" s="22" t="inlineStr">
        <is>
          <t>Ecrit 102,6 cm</t>
        </is>
      </c>
      <c r="F27" s="22" t="inlineStr">
        <is>
          <t>Les trois côtés sont multipliés (4,5 × 6 × 3,8 = 102,6) : le périmètre est confondu avec une aire ou un volume.</t>
        </is>
      </c>
    </row>
    <row r="28">
      <c r="A28" s="20" t="inlineStr">
        <is>
          <t>6eme</t>
        </is>
      </c>
      <c r="B28" s="21" t="inlineStr">
        <is>
          <t>M2</t>
        </is>
      </c>
      <c r="C28" s="20" t="inlineStr">
        <is>
          <t>N.ADD</t>
        </is>
      </c>
      <c r="D28" s="21" t="inlineStr">
        <is>
          <t>PRC</t>
        </is>
      </c>
      <c r="E28" s="20" t="inlineStr">
        <is>
          <t>Ecrit 13,3 cm</t>
        </is>
      </c>
      <c r="F28" s="20" t="inlineStr">
        <is>
          <t>5 + 8 = 13 dixièmes : le 3 est écrit mais la retenue sur les unités est oubliée (4 + 6 + 3 = 13).</t>
        </is>
      </c>
    </row>
    <row r="29">
      <c r="A29" s="22" t="inlineStr">
        <is>
          <t>6eme</t>
        </is>
      </c>
      <c r="B29" s="23" t="inlineStr">
        <is>
          <t>M3</t>
        </is>
      </c>
      <c r="C29" s="22" t="inlineStr">
        <is>
          <t>M.AIRE</t>
        </is>
      </c>
      <c r="D29" s="23" t="inlineStr">
        <is>
          <t>CPT</t>
        </is>
      </c>
      <c r="E29" s="22" t="inlineStr">
        <is>
          <t>Entoure b) 17,5 cm²</t>
        </is>
      </c>
      <c r="F29" s="22" t="inlineStr">
        <is>
          <t>Hauteur et côté sont confondus : la notion de hauteur relative à une base n'est pas acquise.</t>
        </is>
      </c>
    </row>
    <row r="30">
      <c r="A30" s="20" t="inlineStr">
        <is>
          <t>6eme</t>
        </is>
      </c>
      <c r="B30" s="21" t="inlineStr">
        <is>
          <t>M3</t>
        </is>
      </c>
      <c r="C30" s="20" t="inlineStr">
        <is>
          <t>M.AIRE</t>
        </is>
      </c>
      <c r="D30" s="21" t="inlineStr">
        <is>
          <t>CNS</t>
        </is>
      </c>
      <c r="E30" s="20" t="inlineStr">
        <is>
          <t>Entoure c) 28 cm²</t>
        </is>
      </c>
      <c r="F30" s="20" t="inlineStr">
        <is>
          <t>La formule de l'aire du triangle n'est pas disponible ; celle du rectangle est appliquée.</t>
        </is>
      </c>
    </row>
    <row r="31">
      <c r="A31" s="22" t="inlineStr">
        <is>
          <t>6eme</t>
        </is>
      </c>
      <c r="B31" s="23" t="inlineStr">
        <is>
          <t>M3</t>
        </is>
      </c>
      <c r="C31" s="22" t="inlineStr">
        <is>
          <t>M.AIRE</t>
        </is>
      </c>
      <c r="D31" s="23" t="inlineStr">
        <is>
          <t>CPT</t>
        </is>
      </c>
      <c r="E31" s="22" t="inlineStr">
        <is>
          <t>Entoure d) 16 cm²</t>
        </is>
      </c>
      <c r="F31" s="22" t="inlineStr">
        <is>
          <t>Aire et longueur sont confondues : l'élève additionne toutes les données au lieu de calculer une aire.</t>
        </is>
      </c>
    </row>
    <row r="32">
      <c r="A32" s="20" t="inlineStr">
        <is>
          <t>6eme</t>
        </is>
      </c>
      <c r="B32" s="21" t="inlineStr">
        <is>
          <t>G1</t>
        </is>
      </c>
      <c r="C32" s="20" t="inlineStr">
        <is>
          <t>G.VOC</t>
        </is>
      </c>
      <c r="D32" s="21" t="inlineStr">
        <is>
          <t>CPT</t>
        </is>
      </c>
      <c r="E32" s="20" t="inlineStr">
        <is>
          <t>Ecrit 1,75 cm</t>
        </is>
      </c>
      <c r="F32" s="20" t="inlineStr">
        <is>
          <t>IE est divisé par 2 au lieu d'être doublé : le sens du milieu est inversé.</t>
        </is>
      </c>
    </row>
    <row r="33">
      <c r="A33" s="22" t="inlineStr">
        <is>
          <t>6eme</t>
        </is>
      </c>
      <c r="B33" s="23" t="inlineStr">
        <is>
          <t>G1</t>
        </is>
      </c>
      <c r="C33" s="22" t="inlineStr">
        <is>
          <t>G.VOC</t>
        </is>
      </c>
      <c r="D33" s="23" t="inlineStr">
        <is>
          <t>CNS</t>
        </is>
      </c>
      <c r="E33" s="22" t="inlineStr">
        <is>
          <t>Ecrit 3,5 cm</t>
        </is>
      </c>
      <c r="F33" s="22" t="inlineStr">
        <is>
          <t>La définition du milieu n'est pas mobilisée : EF est confondu avec IE.</t>
        </is>
      </c>
    </row>
    <row r="34">
      <c r="A34" s="20" t="inlineStr">
        <is>
          <t>6eme</t>
        </is>
      </c>
      <c r="B34" s="21" t="inlineStr">
        <is>
          <t>G1</t>
        </is>
      </c>
      <c r="C34" s="20" t="inlineStr">
        <is>
          <t>G.VOC</t>
        </is>
      </c>
      <c r="D34" s="21" t="inlineStr">
        <is>
          <t>CPT</t>
        </is>
      </c>
      <c r="E34" s="20" t="inlineStr">
        <is>
          <t>Ecrit 6,10 cm</t>
        </is>
      </c>
      <c r="F34" s="20" t="inlineStr">
        <is>
          <t>Le doublement est fait chiffre à chiffre (3 × 2 = 6 ; 5 × 2 = 10) : le décimal est traité comme deux entiers séparés, règle fausse appliquée de façon cohérente.</t>
        </is>
      </c>
    </row>
    <row r="35">
      <c r="A35" s="22" t="inlineStr">
        <is>
          <t>6eme</t>
        </is>
      </c>
      <c r="B35" s="23" t="inlineStr">
        <is>
          <t>G2</t>
        </is>
      </c>
      <c r="C35" s="22" t="inlineStr">
        <is>
          <t>G.PARA</t>
        </is>
      </c>
      <c r="D35" s="23" t="inlineStr">
        <is>
          <t>CPT</t>
        </is>
      </c>
      <c r="E35" s="22" t="inlineStr">
        <is>
          <t>Ecrit [AD] et [CD]</t>
        </is>
      </c>
      <c r="F35" s="22" t="inlineStr">
        <is>
          <t>Le côté opposé [CD], parallèle à [AB], est donné comme perpendiculaire : parallèle et perpendiculaire sont confondus.</t>
        </is>
      </c>
    </row>
    <row r="36">
      <c r="A36" s="20" t="inlineStr">
        <is>
          <t>6eme</t>
        </is>
      </c>
      <c r="B36" s="21" t="inlineStr">
        <is>
          <t>G2</t>
        </is>
      </c>
      <c r="C36" s="20" t="inlineStr">
        <is>
          <t>G.PARA</t>
        </is>
      </c>
      <c r="D36" s="21" t="inlineStr">
        <is>
          <t>CNS</t>
        </is>
      </c>
      <c r="E36" s="20" t="inlineStr">
        <is>
          <t>Ecrit [AC] et [BD]</t>
        </is>
      </c>
      <c r="F36" s="20" t="inlineStr">
        <is>
          <t>Les diagonales sont données : la convention de nommage d'un polygone (sommets consécutifs) n'est pas disponible.</t>
        </is>
      </c>
    </row>
    <row r="37">
      <c r="A37" s="22" t="inlineStr">
        <is>
          <t>6eme</t>
        </is>
      </c>
      <c r="B37" s="23" t="inlineStr">
        <is>
          <t>G2</t>
        </is>
      </c>
      <c r="C37" s="22" t="inlineStr">
        <is>
          <t>G.PARA</t>
        </is>
      </c>
      <c r="D37" s="23" t="inlineStr">
        <is>
          <t>PRC</t>
        </is>
      </c>
      <c r="E37" s="22" t="inlineStr">
        <is>
          <t>Ecrit [AD] seulement</t>
        </is>
      </c>
      <c r="F37" s="22" t="inlineStr">
        <is>
          <t>Un seul des deux côtés est cité : la vérification n'est pas menée sur chaque côté du carré.</t>
        </is>
      </c>
    </row>
    <row r="38">
      <c r="A38" s="20" t="inlineStr">
        <is>
          <t>6eme</t>
        </is>
      </c>
      <c r="B38" s="21" t="inlineStr">
        <is>
          <t>G3</t>
        </is>
      </c>
      <c r="C38" s="20" t="inlineStr">
        <is>
          <t>G.ANG1</t>
        </is>
      </c>
      <c r="D38" s="21" t="inlineStr">
        <is>
          <t>CNS</t>
        </is>
      </c>
      <c r="E38" s="20" t="inlineStr">
        <is>
          <t>Entoure a) 40°</t>
        </is>
      </c>
      <c r="F38" s="20" t="inlineStr">
        <is>
          <t>La définition de l'angle obtus n'est pas mobilisée pour choisir entre les deux graduations.</t>
        </is>
      </c>
    </row>
    <row r="39">
      <c r="A39" s="22" t="inlineStr">
        <is>
          <t>6eme</t>
        </is>
      </c>
      <c r="B39" s="23" t="inlineStr">
        <is>
          <t>G3</t>
        </is>
      </c>
      <c r="C39" s="22" t="inlineStr">
        <is>
          <t>G.ANG1</t>
        </is>
      </c>
      <c r="D39" s="23" t="inlineStr">
        <is>
          <t>CPT</t>
        </is>
      </c>
      <c r="E39" s="22" t="inlineStr">
        <is>
          <t>Entoure c) 180°</t>
        </is>
      </c>
      <c r="F39" s="22" t="inlineStr">
        <is>
          <t>Le fonctionnement du rapporteur à double graduation est compris de travers.</t>
        </is>
      </c>
    </row>
    <row r="40">
      <c r="A40" s="20" t="inlineStr">
        <is>
          <t>6eme</t>
        </is>
      </c>
      <c r="B40" s="21" t="inlineStr">
        <is>
          <t>G3</t>
        </is>
      </c>
      <c r="C40" s="20" t="inlineStr">
        <is>
          <t>G.ANG1</t>
        </is>
      </c>
      <c r="D40" s="21" t="inlineStr">
        <is>
          <t>CPT</t>
        </is>
      </c>
      <c r="E40" s="20" t="inlineStr">
        <is>
          <t>Entoure d) 100°</t>
        </is>
      </c>
      <c r="F40" s="20" t="inlineStr">
        <is>
          <t>Les deux nombres lus sont combinés par une opération : la double graduation n'est pas comprise.</t>
        </is>
      </c>
    </row>
    <row r="41">
      <c r="A41" s="22" t="inlineStr">
        <is>
          <t>6eme</t>
        </is>
      </c>
      <c r="B41" s="23" t="inlineStr">
        <is>
          <t>G4</t>
        </is>
      </c>
      <c r="C41" s="22" t="inlineStr">
        <is>
          <t>G.FIG</t>
        </is>
      </c>
      <c r="D41" s="23" t="inlineStr">
        <is>
          <t>CNS</t>
        </is>
      </c>
      <c r="E41" s="22" t="inlineStr">
        <is>
          <t>Ecrit P</t>
        </is>
      </c>
      <c r="F41" s="22" t="inlineStr">
        <is>
          <t>La définition du cercle (distance au centre égale au rayon) n'est pas mobilisée : le choix se fait au hasard ou sur la plus grande valeur.</t>
        </is>
      </c>
    </row>
    <row r="42">
      <c r="A42" s="20" t="inlineStr">
        <is>
          <t>6eme</t>
        </is>
      </c>
      <c r="B42" s="21" t="inlineStr">
        <is>
          <t>G4</t>
        </is>
      </c>
      <c r="C42" s="20" t="inlineStr">
        <is>
          <t>G.FIG</t>
        </is>
      </c>
      <c r="D42" s="21" t="inlineStr">
        <is>
          <t>CPT</t>
        </is>
      </c>
      <c r="E42" s="20" t="inlineStr">
        <is>
          <t>Ecrit O</t>
        </is>
      </c>
      <c r="F42" s="20" t="inlineStr">
        <is>
          <t>Le centre est considéré comme un point du cercle : cercle et disque sont confondus.</t>
        </is>
      </c>
    </row>
    <row r="43">
      <c r="A43" s="22" t="inlineStr">
        <is>
          <t>6eme</t>
        </is>
      </c>
      <c r="B43" s="23" t="inlineStr">
        <is>
          <t>D1</t>
        </is>
      </c>
      <c r="C43" s="22" t="inlineStr">
        <is>
          <t>D.PROP</t>
        </is>
      </c>
      <c r="D43" s="23" t="inlineStr">
        <is>
          <t>CPT</t>
        </is>
      </c>
      <c r="E43" s="22" t="inlineStr">
        <is>
          <t>Ecrit 18 200 FCFA</t>
        </is>
      </c>
      <c r="F43" s="22" t="inlineStr">
        <is>
          <t>Le prix de 4 kg est multiplié par 7 : le prix d'un lot est traité comme un prix unitaire.</t>
        </is>
      </c>
    </row>
    <row r="44">
      <c r="A44" s="20" t="inlineStr">
        <is>
          <t>6eme</t>
        </is>
      </c>
      <c r="B44" s="21" t="inlineStr">
        <is>
          <t>D1</t>
        </is>
      </c>
      <c r="C44" s="20" t="inlineStr">
        <is>
          <t>D.PROP</t>
        </is>
      </c>
      <c r="D44" s="21" t="inlineStr">
        <is>
          <t>PRC</t>
        </is>
      </c>
      <c r="E44" s="20" t="inlineStr">
        <is>
          <t>Ecrit 4 250 FCFA</t>
        </is>
      </c>
      <c r="F44" s="20" t="inlineStr">
        <is>
          <t>Le prix d'un kilogramme (650 FCFA) est juste mais 650 × 7 perd une retenue (6 × 7 = 42 sans le 3 retenu).</t>
        </is>
      </c>
    </row>
    <row r="45">
      <c r="A45" s="22" t="inlineStr">
        <is>
          <t>6eme</t>
        </is>
      </c>
      <c r="B45" s="23" t="inlineStr">
        <is>
          <t>D1</t>
        </is>
      </c>
      <c r="C45" s="22" t="inlineStr">
        <is>
          <t>D.PROP</t>
        </is>
      </c>
      <c r="D45" s="23" t="inlineStr">
        <is>
          <t>MOD</t>
        </is>
      </c>
      <c r="E45" s="22" t="inlineStr">
        <is>
          <t>Ecrit 650 FCFA</t>
        </is>
      </c>
      <c r="F45" s="22" t="inlineStr">
        <is>
          <t>L'élève s'arrête au prix d'un kilogramme : la question posée (7 kg) n'est pas achevée.</t>
        </is>
      </c>
    </row>
    <row r="46">
      <c r="A46" s="20" t="inlineStr">
        <is>
          <t>6eme</t>
        </is>
      </c>
      <c r="B46" s="21" t="inlineStr">
        <is>
          <t>D2</t>
        </is>
      </c>
      <c r="C46" s="20" t="inlineStr">
        <is>
          <t>D.POUR</t>
        </is>
      </c>
      <c r="D46" s="21" t="inlineStr">
        <is>
          <t>CNS</t>
        </is>
      </c>
      <c r="E46" s="20" t="inlineStr">
        <is>
          <t>Entoure a) 50 %</t>
        </is>
      </c>
      <c r="F46" s="20" t="inlineStr">
        <is>
          <t>L'effectif est confondu avec un pourcentage : la notion n'est pas disponible.</t>
        </is>
      </c>
    </row>
    <row r="47">
      <c r="A47" s="22" t="inlineStr">
        <is>
          <t>6eme</t>
        </is>
      </c>
      <c r="B47" s="23" t="inlineStr">
        <is>
          <t>D2</t>
        </is>
      </c>
      <c r="C47" s="22" t="inlineStr">
        <is>
          <t>D.POUR</t>
        </is>
      </c>
      <c r="D47" s="23" t="inlineStr">
        <is>
          <t>CPT</t>
        </is>
      </c>
      <c r="E47" s="22" t="inlineStr">
        <is>
          <t>Entoure b) 4 %</t>
        </is>
      </c>
      <c r="F47" s="22" t="inlineStr">
        <is>
          <t>Le rapport partie sur tout est inversé : erreur de notion sur le pourcentage.</t>
        </is>
      </c>
    </row>
    <row r="48">
      <c r="A48" s="20" t="inlineStr">
        <is>
          <t>6eme</t>
        </is>
      </c>
      <c r="B48" s="21" t="inlineStr">
        <is>
          <t>D2</t>
        </is>
      </c>
      <c r="C48" s="20" t="inlineStr">
        <is>
          <t>D.POUR</t>
        </is>
      </c>
      <c r="D48" s="21" t="inlineStr">
        <is>
          <t>CPT</t>
        </is>
      </c>
      <c r="E48" s="20" t="inlineStr">
        <is>
          <t>Entoure c) 40 %</t>
        </is>
      </c>
      <c r="F48" s="20" t="inlineStr">
        <is>
          <t>Le rapport est inversé, puis le quotient est déplacé d'un rang : la notion de rapport est fausse.</t>
        </is>
      </c>
    </row>
    <row r="49">
      <c r="A49" s="22" t="inlineStr">
        <is>
          <t>6eme</t>
        </is>
      </c>
      <c r="B49" s="23" t="inlineStr">
        <is>
          <t>N8</t>
        </is>
      </c>
      <c r="C49" s="22" t="inlineStr">
        <is>
          <t>N.ADD</t>
        </is>
      </c>
      <c r="D49" s="23" t="inlineStr">
        <is>
          <t>MOD</t>
        </is>
      </c>
      <c r="E49" s="22" t="inlineStr">
        <is>
          <t>Ecrit 4,25 + 1,5 = 5,75 litres</t>
        </is>
      </c>
      <c r="F49" s="22" t="inlineStr">
        <is>
          <t>L'opération de l'énoncé est refaite dans le sens direct : le raisonnement inverse (état final vers état initial) n'est pas installé.</t>
        </is>
      </c>
    </row>
    <row r="50">
      <c r="A50" s="20" t="inlineStr">
        <is>
          <t>6eme</t>
        </is>
      </c>
      <c r="B50" s="21" t="inlineStr">
        <is>
          <t>N8</t>
        </is>
      </c>
      <c r="C50" s="20" t="inlineStr">
        <is>
          <t>N.ADD</t>
        </is>
      </c>
      <c r="D50" s="21" t="inlineStr">
        <is>
          <t>PRC</t>
        </is>
      </c>
      <c r="E50" s="20" t="inlineStr">
        <is>
          <t>Ecrit 4,25 - 1,5 = 4,10</t>
        </is>
      </c>
      <c r="F50" s="20" t="inlineStr">
        <is>
          <t>1,5 est aligné comme 0,15 : la soustraction est bien choisie mais les virgules ne sont pas alignées.</t>
        </is>
      </c>
    </row>
    <row r="51">
      <c r="A51" s="22" t="inlineStr">
        <is>
          <t>6eme</t>
        </is>
      </c>
      <c r="B51" s="23" t="inlineStr">
        <is>
          <t>N8</t>
        </is>
      </c>
      <c r="C51" s="22" t="inlineStr">
        <is>
          <t>N.ADD</t>
        </is>
      </c>
      <c r="D51" s="23" t="inlineStr">
        <is>
          <t>CPT</t>
        </is>
      </c>
      <c r="E51" s="22" t="inlineStr">
        <is>
          <t>Ecrit 1,5 - 4,25 = 2,75</t>
        </is>
      </c>
      <c r="F51" s="22" t="inlineStr">
        <is>
          <t>Les termes sont écrits dans l'ordre de l'énoncé puis le calcul est fait dans l'autre sens : l'élève croit que l'ordre des termes d'une soustraction ne compte pas.</t>
        </is>
      </c>
    </row>
    <row r="52">
      <c r="A52" s="20" t="inlineStr">
        <is>
          <t>6eme</t>
        </is>
      </c>
      <c r="B52" s="21" t="inlineStr">
        <is>
          <t>N8</t>
        </is>
      </c>
      <c r="C52" s="20" t="inlineStr">
        <is>
          <t>N.ADD</t>
        </is>
      </c>
      <c r="D52" s="21" t="inlineStr">
        <is>
          <t>RED</t>
        </is>
      </c>
      <c r="E52" s="20" t="inlineStr">
        <is>
          <t>Ecrit 2,75 litres sans écrire l'opération</t>
        </is>
      </c>
      <c r="F52" s="20" t="inlineStr">
        <is>
          <t>Le résultat est juste mais l'opération demandée n'est pas écrite : la démarche ne peut pas être suivie.</t>
        </is>
      </c>
    </row>
    <row r="53">
      <c r="A53" s="22" t="inlineStr">
        <is>
          <t>6eme</t>
        </is>
      </c>
      <c r="B53" s="23" t="inlineStr">
        <is>
          <t>N9</t>
        </is>
      </c>
      <c r="C53" s="22" t="inlineStr">
        <is>
          <t>N.MUL</t>
        </is>
      </c>
      <c r="D53" s="23" t="inlineStr">
        <is>
          <t>MOD</t>
        </is>
      </c>
      <c r="E53" s="22" t="inlineStr">
        <is>
          <t>Ecrit 325 × 12 = 3 900 FCFA</t>
        </is>
      </c>
      <c r="F53" s="22" t="inlineStr">
        <is>
          <t>« Le double » n'est pas traduit : la somme est calculée pour Rakieta (12 savons) et non pour Safiatou.</t>
        </is>
      </c>
    </row>
    <row r="54">
      <c r="A54" s="20" t="inlineStr">
        <is>
          <t>6eme</t>
        </is>
      </c>
      <c r="B54" s="21" t="inlineStr">
        <is>
          <t>N9</t>
        </is>
      </c>
      <c r="C54" s="20" t="inlineStr">
        <is>
          <t>N.MUL</t>
        </is>
      </c>
      <c r="D54" s="21" t="inlineStr">
        <is>
          <t>PRC</t>
        </is>
      </c>
      <c r="E54" s="20" t="inlineStr">
        <is>
          <t>Ecrit 325 × 24 = 1 950 FCFA</t>
        </is>
      </c>
      <c r="F54" s="20" t="inlineStr">
        <is>
          <t>Le second produit partiel (650) n'est pas décalé : 1 300 + 650 = 1 950.</t>
        </is>
      </c>
    </row>
    <row r="55">
      <c r="A55" s="22" t="inlineStr">
        <is>
          <t>6eme</t>
        </is>
      </c>
      <c r="B55" s="23" t="inlineStr">
        <is>
          <t>N9</t>
        </is>
      </c>
      <c r="C55" s="22" t="inlineStr">
        <is>
          <t>N.PROB</t>
        </is>
      </c>
      <c r="D55" s="23" t="inlineStr">
        <is>
          <t>CPT</t>
        </is>
      </c>
      <c r="E55" s="22" t="inlineStr">
        <is>
          <t>Ecrit 325 × 14 = 4 550 FCFA</t>
        </is>
      </c>
      <c r="F55" s="22" t="inlineStr">
        <is>
          <t>« Le double de 12 » est traduit par 12 + 2 : le mot « double » est compris comme un ajout.</t>
        </is>
      </c>
    </row>
    <row r="56">
      <c r="A56" s="20" t="inlineStr">
        <is>
          <t>6eme</t>
        </is>
      </c>
      <c r="B56" s="21" t="inlineStr">
        <is>
          <t>N9</t>
        </is>
      </c>
      <c r="C56" s="20" t="inlineStr">
        <is>
          <t>N.MUL</t>
        </is>
      </c>
      <c r="D56" s="21" t="inlineStr">
        <is>
          <t>RED</t>
        </is>
      </c>
      <c r="E56" s="20" t="inlineStr">
        <is>
          <t>Ecrit 7 800 FCFA sans aucun calcul en ligne</t>
        </is>
      </c>
      <c r="F56" s="20" t="inlineStr">
        <is>
          <t>Le résultat est juste mais le calcul en une ligne, explicitement demandé, est absent.</t>
        </is>
      </c>
    </row>
    <row r="57">
      <c r="A57" s="22" t="inlineStr">
        <is>
          <t>6eme</t>
        </is>
      </c>
      <c r="B57" s="23" t="inlineStr">
        <is>
          <t>N10</t>
        </is>
      </c>
      <c r="C57" s="22" t="inlineStr">
        <is>
          <t>N.DIVE</t>
        </is>
      </c>
      <c r="D57" s="23" t="inlineStr">
        <is>
          <t>MOD</t>
        </is>
      </c>
      <c r="E57" s="22" t="inlineStr">
        <is>
          <t>Ecrit 500 = 30 × 16 + 20, donc Nafissatou a raison</t>
        </is>
      </c>
      <c r="F57" s="22" t="inlineStr">
        <is>
          <t>La division est juste mais le reste 20 n'est pas traduit dans la situation : 20 oeufs demandent un plateau de plus.</t>
        </is>
      </c>
    </row>
    <row r="58">
      <c r="A58" s="20" t="inlineStr">
        <is>
          <t>6eme</t>
        </is>
      </c>
      <c r="B58" s="21" t="inlineStr">
        <is>
          <t>N10</t>
        </is>
      </c>
      <c r="C58" s="20" t="inlineStr">
        <is>
          <t>N.DIVE</t>
        </is>
      </c>
      <c r="D58" s="21" t="inlineStr">
        <is>
          <t>PRC</t>
        </is>
      </c>
      <c r="E58" s="20" t="inlineStr">
        <is>
          <t>Ecrit 500 = 30 × 15 + 50</t>
        </is>
      </c>
      <c r="F58" s="20" t="inlineStr">
        <is>
          <t>Le reste 50 est plus grand que le diviseur 30 et n'est pas corrigé : la division est mal conduite.</t>
        </is>
      </c>
    </row>
    <row r="59">
      <c r="A59" s="22" t="inlineStr">
        <is>
          <t>6eme</t>
        </is>
      </c>
      <c r="B59" s="23" t="inlineStr">
        <is>
          <t>N10</t>
        </is>
      </c>
      <c r="C59" s="22" t="inlineStr">
        <is>
          <t>N.DIVE</t>
        </is>
      </c>
      <c r="D59" s="23" t="inlineStr">
        <is>
          <t>RED</t>
        </is>
      </c>
      <c r="E59" s="22" t="inlineStr">
        <is>
          <t>Ecrit « Nafissatou a tort » sans division ni nombre de plateaux</t>
        </is>
      </c>
      <c r="F59" s="22" t="inlineStr">
        <is>
          <t>La conclusion est juste mais elle n'est appuyée sur aucun calcul.</t>
        </is>
      </c>
    </row>
    <row r="60">
      <c r="A60" s="20" t="inlineStr">
        <is>
          <t>6eme</t>
        </is>
      </c>
      <c r="B60" s="21" t="inlineStr">
        <is>
          <t>N10</t>
        </is>
      </c>
      <c r="C60" s="20" t="inlineStr">
        <is>
          <t>N.DIVE</t>
        </is>
      </c>
      <c r="D60" s="21" t="inlineStr">
        <is>
          <t>ATT</t>
        </is>
      </c>
      <c r="E60" s="20" t="inlineStr">
        <is>
          <t>Ecrit 17 plateaux nécessaires, puis « Nafissatou a raison »</t>
        </is>
      </c>
      <c r="F60" s="20" t="inlineStr">
        <is>
          <t>Calcul et interprétation justes, conclusion contraire au calcul : erreur ponctuelle sans logique.</t>
        </is>
      </c>
    </row>
    <row r="61">
      <c r="A61" s="22" t="inlineStr">
        <is>
          <t>6eme</t>
        </is>
      </c>
      <c r="B61" s="23" t="inlineStr">
        <is>
          <t>N11</t>
        </is>
      </c>
      <c r="C61" s="22" t="inlineStr">
        <is>
          <t>N.FRA1</t>
        </is>
      </c>
      <c r="D61" s="23" t="inlineStr">
        <is>
          <t>CPT</t>
        </is>
      </c>
      <c r="E61" s="22" t="inlineStr">
        <is>
          <t>Ecrit 12 : 3 = 4 sacs</t>
        </is>
      </c>
      <c r="F61" s="22" t="inlineStr">
        <is>
          <t>La partie est connue et le tout cherché, mais l'élève divise : le sens de la fraction d'une quantité est inversé.</t>
        </is>
      </c>
    </row>
    <row r="62">
      <c r="A62" s="20" t="inlineStr">
        <is>
          <t>6eme</t>
        </is>
      </c>
      <c r="B62" s="21" t="inlineStr">
        <is>
          <t>N11</t>
        </is>
      </c>
      <c r="C62" s="20" t="inlineStr">
        <is>
          <t>N.FRA1</t>
        </is>
      </c>
      <c r="D62" s="21" t="inlineStr">
        <is>
          <t>CPT</t>
        </is>
      </c>
      <c r="E62" s="20" t="inlineStr">
        <is>
          <t>Ecrit 18 sacs quand le grenier est plein</t>
        </is>
      </c>
      <c r="F62" s="20" t="inlineStr">
        <is>
          <t>« Rempli au tiers » est lu comme « aux deux tiers » (12 = 2/3 de 18) : la fraction est mal interprétée.</t>
        </is>
      </c>
    </row>
    <row r="63">
      <c r="A63" s="22" t="inlineStr">
        <is>
          <t>6eme</t>
        </is>
      </c>
      <c r="B63" s="23" t="inlineStr">
        <is>
          <t>N11</t>
        </is>
      </c>
      <c r="C63" s="22" t="inlineStr">
        <is>
          <t>N.FRA1</t>
        </is>
      </c>
      <c r="D63" s="23" t="inlineStr">
        <is>
          <t>MOD</t>
        </is>
      </c>
      <c r="E63" s="22" t="inlineStr">
        <is>
          <t>Ecrit 36 sacs, 30 &lt; 36 donc elle peut ajouter les 30 sacs</t>
        </is>
      </c>
      <c r="F63" s="22" t="inlineStr">
        <is>
          <t>La comparaison est faite avec la contenance totale et non avec les 24 places libres : la condition n'est pas traduite.</t>
        </is>
      </c>
    </row>
    <row r="64">
      <c r="A64" s="20" t="inlineStr">
        <is>
          <t>6eme</t>
        </is>
      </c>
      <c r="B64" s="21" t="inlineStr">
        <is>
          <t>N11</t>
        </is>
      </c>
      <c r="C64" s="20" t="inlineStr">
        <is>
          <t>N.FRA1</t>
        </is>
      </c>
      <c r="D64" s="21" t="inlineStr">
        <is>
          <t>RED</t>
        </is>
      </c>
      <c r="E64" s="20" t="inlineStr">
        <is>
          <t>Ecrit « non » sans calcul</t>
        </is>
      </c>
      <c r="F64" s="20" t="inlineStr">
        <is>
          <t>La réponse est juste mais ni la contenance ni la place restante ne sont calculées.</t>
        </is>
      </c>
    </row>
    <row r="65">
      <c r="A65" s="22" t="inlineStr">
        <is>
          <t>6eme</t>
        </is>
      </c>
      <c r="B65" s="23" t="inlineStr">
        <is>
          <t>N12</t>
        </is>
      </c>
      <c r="C65" s="22" t="inlineStr">
        <is>
          <t>N.PROB</t>
        </is>
      </c>
      <c r="D65" s="23" t="inlineStr">
        <is>
          <t>MOD</t>
        </is>
      </c>
      <c r="E65" s="22" t="inlineStr">
        <is>
          <t>Ecrit 15 000 : 8 = 1 875 FCFA</t>
        </is>
      </c>
      <c r="F65" s="22" t="inlineStr">
        <is>
          <t>Seul le prix d'achat d'un poulet est calculé : le gain visé n'est pas ajouté avant le partage.</t>
        </is>
      </c>
    </row>
    <row r="66">
      <c r="A66" s="20" t="inlineStr">
        <is>
          <t>6eme</t>
        </is>
      </c>
      <c r="B66" s="21" t="inlineStr">
        <is>
          <t>N12</t>
        </is>
      </c>
      <c r="C66" s="20" t="inlineStr">
        <is>
          <t>N.PROB</t>
        </is>
      </c>
      <c r="D66" s="21" t="inlineStr">
        <is>
          <t>CPT</t>
        </is>
      </c>
      <c r="E66" s="20" t="inlineStr">
        <is>
          <t>Ecrit 8 000 : 8 = 1 000 FCFA</t>
        </is>
      </c>
      <c r="F66" s="20" t="inlineStr">
        <is>
          <t>Le gain est confondu avec le prix de vente : la relation recette = prix d'achat + gain n'est pas comprise.</t>
        </is>
      </c>
    </row>
    <row r="67">
      <c r="A67" s="22" t="inlineStr">
        <is>
          <t>6eme</t>
        </is>
      </c>
      <c r="B67" s="23" t="inlineStr">
        <is>
          <t>N12</t>
        </is>
      </c>
      <c r="C67" s="22" t="inlineStr">
        <is>
          <t>N.DIVE</t>
        </is>
      </c>
      <c r="D67" s="23" t="inlineStr">
        <is>
          <t>PRC</t>
        </is>
      </c>
      <c r="E67" s="22" t="inlineStr">
        <is>
          <t>Ecrit 23 000 : 8 = 2 870 FCFA</t>
        </is>
      </c>
      <c r="F67" s="22" t="inlineStr">
        <is>
          <t>La recette 23 000 FCFA est juste mais la division s'arrête à 287 dizaines et le reste de 4 dizaines n'est pas partagé.</t>
        </is>
      </c>
    </row>
    <row r="68">
      <c r="A68" s="20" t="inlineStr">
        <is>
          <t>6eme</t>
        </is>
      </c>
      <c r="B68" s="21" t="inlineStr">
        <is>
          <t>N12</t>
        </is>
      </c>
      <c r="C68" s="20" t="inlineStr">
        <is>
          <t>N.PROB</t>
        </is>
      </c>
      <c r="D68" s="21" t="inlineStr">
        <is>
          <t>RED</t>
        </is>
      </c>
      <c r="E68" s="20" t="inlineStr">
        <is>
          <t>Ecrit 8 × 2 750 = 22 000 et 22 000 - 15 000 = 7 000 &lt; 8 000, sans prix de vente</t>
        </is>
      </c>
      <c r="F68" s="20" t="inlineStr">
        <is>
          <t>La conclusion est juste et la vérification correcte, mais le prix de vente demandé (2 875 FCFA) n'est pas calculé : la réponse ne traite pas la question posée.</t>
        </is>
      </c>
    </row>
    <row r="69">
      <c r="A69" s="22" t="inlineStr">
        <is>
          <t>6eme</t>
        </is>
      </c>
      <c r="B69" s="23" t="inlineStr">
        <is>
          <t>N12</t>
        </is>
      </c>
      <c r="C69" s="22" t="inlineStr">
        <is>
          <t>N.PROB</t>
        </is>
      </c>
      <c r="D69" s="23" t="inlineStr">
        <is>
          <t>ATT</t>
        </is>
      </c>
      <c r="E69" s="22" t="inlineStr">
        <is>
          <t>Ecrit 2 875 FCFA puis « 2 750 &gt; 2 875, le prix suffit »</t>
        </is>
      </c>
      <c r="F69" s="22" t="inlineStr">
        <is>
          <t>Le calcul est juste, la comparaison finale est inversée : erreur isolée.</t>
        </is>
      </c>
    </row>
    <row r="70">
      <c r="A70" s="20" t="inlineStr">
        <is>
          <t>6eme</t>
        </is>
      </c>
      <c r="B70" s="21" t="inlineStr">
        <is>
          <t>M4</t>
        </is>
      </c>
      <c r="C70" s="20" t="inlineStr">
        <is>
          <t>M.PER</t>
        </is>
      </c>
      <c r="D70" s="21" t="inlineStr">
        <is>
          <t>CPT</t>
        </is>
      </c>
      <c r="E70" s="20" t="inlineStr">
        <is>
          <t>Ecrit 46 - 14 = 32 m</t>
        </is>
      </c>
      <c r="F70" s="20" t="inlineStr">
        <is>
          <t>La longueur est retranchée du périmètre entier : la formule du périmètre du rectangle est employée à l'envers.</t>
        </is>
      </c>
    </row>
    <row r="71">
      <c r="A71" s="22" t="inlineStr">
        <is>
          <t>6eme</t>
        </is>
      </c>
      <c r="B71" s="23" t="inlineStr">
        <is>
          <t>M4</t>
        </is>
      </c>
      <c r="C71" s="22" t="inlineStr">
        <is>
          <t>M.PER</t>
        </is>
      </c>
      <c r="D71" s="23" t="inlineStr">
        <is>
          <t>CNS</t>
        </is>
      </c>
      <c r="E71" s="22" t="inlineStr">
        <is>
          <t>Ecrit 46 : 4 = 11,5 m</t>
        </is>
      </c>
      <c r="F71" s="22" t="inlineStr">
        <is>
          <t>La formule du périmètre du carré est appliquée : celle du rectangle n'est pas disponible.</t>
        </is>
      </c>
    </row>
    <row r="72">
      <c r="A72" s="20" t="inlineStr">
        <is>
          <t>6eme</t>
        </is>
      </c>
      <c r="B72" s="21" t="inlineStr">
        <is>
          <t>M4</t>
        </is>
      </c>
      <c r="C72" s="20" t="inlineStr">
        <is>
          <t>M.PER</t>
        </is>
      </c>
      <c r="D72" s="21" t="inlineStr">
        <is>
          <t>PRQ</t>
        </is>
      </c>
      <c r="E72" s="20" t="inlineStr">
        <is>
          <t>Ecrit 23 - 14 = 11 m</t>
        </is>
      </c>
      <c r="F72" s="20" t="inlineStr">
        <is>
          <t>Le demi-périmètre est juste mais 3 - 4 devient 4 - 3 : la soustraction avec retenue (acquis du CE1) n'est pas maîtrisée.</t>
        </is>
      </c>
    </row>
    <row r="73">
      <c r="A73" s="22" t="inlineStr">
        <is>
          <t>6eme</t>
        </is>
      </c>
      <c r="B73" s="23" t="inlineStr">
        <is>
          <t>M4</t>
        </is>
      </c>
      <c r="C73" s="22" t="inlineStr">
        <is>
          <t>N.DIVE</t>
        </is>
      </c>
      <c r="D73" s="23" t="inlineStr">
        <is>
          <t>MOD</t>
        </is>
      </c>
      <c r="E73" s="22" t="inlineStr">
        <is>
          <t>Ecrit 46 : 20 = 2,3 donc 2 rouleaux</t>
        </is>
      </c>
      <c r="F73" s="22" t="inlineStr">
        <is>
          <t>Le quotient n'est pas arrondi au rouleau entier supérieur : 40 m de grillage ne font pas le tour de 46 m.</t>
        </is>
      </c>
    </row>
    <row r="74">
      <c r="A74" s="20" t="inlineStr">
        <is>
          <t>6eme</t>
        </is>
      </c>
      <c r="B74" s="21" t="inlineStr">
        <is>
          <t>M5</t>
        </is>
      </c>
      <c r="C74" s="20" t="inlineStr">
        <is>
          <t>M.AIRE</t>
        </is>
      </c>
      <c r="D74" s="21" t="inlineStr">
        <is>
          <t>CPT</t>
        </is>
      </c>
      <c r="E74" s="20" t="inlineStr">
        <is>
          <t>Ecrit 4 × 8 = 32 m², 600 - 32 = 568 m², Sibiri a raison</t>
        </is>
      </c>
      <c r="F74" s="20" t="inlineStr">
        <is>
          <t>L'aire du carré est confondue avec son périmètre.</t>
        </is>
      </c>
    </row>
    <row r="75">
      <c r="A75" s="22" t="inlineStr">
        <is>
          <t>6eme</t>
        </is>
      </c>
      <c r="B75" s="23" t="inlineStr">
        <is>
          <t>M5</t>
        </is>
      </c>
      <c r="C75" s="22" t="inlineStr">
        <is>
          <t>M.AIRE</t>
        </is>
      </c>
      <c r="D75" s="23" t="inlineStr">
        <is>
          <t>CNS</t>
        </is>
      </c>
      <c r="E75" s="22" t="inlineStr">
        <is>
          <t>Ecrit 8 × 2 = 16 m², 600 - 16 = 584 m², Sibiri a raison</t>
        </is>
      </c>
      <c r="F75" s="22" t="inlineStr">
        <is>
          <t>La formule de l'aire du carré n'est pas disponible : côté × 2 est assumé.</t>
        </is>
      </c>
    </row>
    <row r="76">
      <c r="A76" s="20" t="inlineStr">
        <is>
          <t>6eme</t>
        </is>
      </c>
      <c r="B76" s="21" t="inlineStr">
        <is>
          <t>M5</t>
        </is>
      </c>
      <c r="C76" s="20" t="inlineStr">
        <is>
          <t>M.AIRE</t>
        </is>
      </c>
      <c r="D76" s="21" t="inlineStr">
        <is>
          <t>MOD</t>
        </is>
      </c>
      <c r="E76" s="20" t="inlineStr">
        <is>
          <t>Ecrit 600 + 64 = 664 m², Sibiri a raison</t>
        </is>
      </c>
      <c r="F76" s="20" t="inlineStr">
        <is>
          <t>L'aire du hangar est ajoutée au lieu d'être retirée : l'aire libre n'est pas vue comme une différence d'aires.</t>
        </is>
      </c>
    </row>
    <row r="77">
      <c r="A77" s="22" t="inlineStr">
        <is>
          <t>6eme</t>
        </is>
      </c>
      <c r="B77" s="23" t="inlineStr">
        <is>
          <t>M5</t>
        </is>
      </c>
      <c r="C77" s="22" t="inlineStr">
        <is>
          <t>M.AIRE</t>
        </is>
      </c>
      <c r="D77" s="23" t="inlineStr">
        <is>
          <t>PRC</t>
        </is>
      </c>
      <c r="E77" s="22" t="inlineStr">
        <is>
          <t>Ecrit 600 - 64 = 546 m²</t>
        </is>
      </c>
      <c r="F77" s="22" t="inlineStr">
        <is>
          <t>L'aire 64 m² est juste mais la retenue des dizaines est oubliée dans la soustraction ; la conclusion reste juste.</t>
        </is>
      </c>
    </row>
    <row r="78">
      <c r="A78" s="20" t="inlineStr">
        <is>
          <t>6eme</t>
        </is>
      </c>
      <c r="B78" s="21" t="inlineStr">
        <is>
          <t>M5</t>
        </is>
      </c>
      <c r="C78" s="20" t="inlineStr">
        <is>
          <t>M.AIRE</t>
        </is>
      </c>
      <c r="D78" s="21" t="inlineStr">
        <is>
          <t>RED</t>
        </is>
      </c>
      <c r="E78" s="20" t="inlineStr">
        <is>
          <t>Ecrit 536 m² sans comparer à 550 ni conclure</t>
        </is>
      </c>
      <c r="F78" s="20" t="inlineStr">
        <is>
          <t>Le calcul est juste mais le jugement demandé sur l'affirmation de Sibiri n'est pas rédigé.</t>
        </is>
      </c>
    </row>
    <row r="79">
      <c r="A79" s="22" t="inlineStr">
        <is>
          <t>6eme</t>
        </is>
      </c>
      <c r="B79" s="23" t="inlineStr">
        <is>
          <t>G5</t>
        </is>
      </c>
      <c r="C79" s="22" t="inlineStr">
        <is>
          <t>G.FIG</t>
        </is>
      </c>
      <c r="D79" s="23" t="inlineStr">
        <is>
          <t>MOD</t>
        </is>
      </c>
      <c r="E79" s="22" t="inlineStr">
        <is>
          <t>Ecrit RS = 10 cm</t>
        </is>
      </c>
      <c r="F79" s="22" t="inlineStr">
        <is>
          <t>La figure n'est pas reconstruite d'après le texte : [RS] est confondu avec la longueur [MN] au lieu de la largeur.</t>
        </is>
      </c>
    </row>
    <row r="80">
      <c r="A80" s="20" t="inlineStr">
        <is>
          <t>6eme</t>
        </is>
      </c>
      <c r="B80" s="21" t="inlineStr">
        <is>
          <t>G5</t>
        </is>
      </c>
      <c r="C80" s="20" t="inlineStr">
        <is>
          <t>G.PARA</t>
        </is>
      </c>
      <c r="D80" s="21" t="inlineStr">
        <is>
          <t>CPT</t>
        </is>
      </c>
      <c r="E80" s="20" t="inlineStr">
        <is>
          <t>Ecrit « Issouf a raison : (RS) est perpendiculaire à (MN), donc à (MQ) »</t>
        </is>
      </c>
      <c r="F80" s="20" t="inlineStr">
        <is>
          <t>La perpendicularité est traitée comme si elle se transmettait d'une droite à l'autre.</t>
        </is>
      </c>
    </row>
    <row r="81">
      <c r="A81" s="22" t="inlineStr">
        <is>
          <t>6eme</t>
        </is>
      </c>
      <c r="B81" s="23" t="inlineStr">
        <is>
          <t>G5</t>
        </is>
      </c>
      <c r="C81" s="22" t="inlineStr">
        <is>
          <t>G.PARA</t>
        </is>
      </c>
      <c r="D81" s="23" t="inlineStr">
        <is>
          <t>CNS</t>
        </is>
      </c>
      <c r="E81" s="22" t="inlineStr">
        <is>
          <t>Ecrit « (RS) et (MQ) sont parallèles car elles ne se coupent pas sur le dessin »</t>
        </is>
      </c>
      <c r="F81" s="22" t="inlineStr">
        <is>
          <t>La propriété « deux perpendiculaires à une même droite sont parallèles » n'est pas disponible : justification par l'aspect visuel.</t>
        </is>
      </c>
    </row>
    <row r="82">
      <c r="A82" s="20" t="inlineStr">
        <is>
          <t>6eme</t>
        </is>
      </c>
      <c r="B82" s="21" t="inlineStr">
        <is>
          <t>G5</t>
        </is>
      </c>
      <c r="C82" s="20" t="inlineStr">
        <is>
          <t>G.PARA</t>
        </is>
      </c>
      <c r="D82" s="21" t="inlineStr">
        <is>
          <t>RED</t>
        </is>
      </c>
      <c r="E82" s="20" t="inlineStr">
        <is>
          <t>Ecrit « Issouf a tort » sans aucune justification</t>
        </is>
      </c>
      <c r="F82" s="20" t="inlineStr">
        <is>
          <t>La conclusion est juste mais aucune propriété n'est citée : le raisonnement n'est pas rédigé.</t>
        </is>
      </c>
    </row>
    <row r="83">
      <c r="A83" s="22" t="inlineStr">
        <is>
          <t>6eme</t>
        </is>
      </c>
      <c r="B83" s="23" t="inlineStr">
        <is>
          <t>G6</t>
        </is>
      </c>
      <c r="C83" s="22" t="inlineStr">
        <is>
          <t>G.FIG</t>
        </is>
      </c>
      <c r="D83" s="23" t="inlineStr">
        <is>
          <t>CPT</t>
        </is>
      </c>
      <c r="E83" s="22" t="inlineStr">
        <is>
          <t>Ecrit rayon = 7 × 2 = 14 cm et trace un cercle qui sort du cadre</t>
        </is>
      </c>
      <c r="F83" s="22" t="inlineStr">
        <is>
          <t>Le diamètre est doublé au lieu d'être partagé : la relation rayon / diamètre est inversée.</t>
        </is>
      </c>
    </row>
    <row r="84">
      <c r="A84" s="20" t="inlineStr">
        <is>
          <t>6eme</t>
        </is>
      </c>
      <c r="B84" s="21" t="inlineStr">
        <is>
          <t>G6</t>
        </is>
      </c>
      <c r="C84" s="20" t="inlineStr">
        <is>
          <t>G.FIG</t>
        </is>
      </c>
      <c r="D84" s="21" t="inlineStr">
        <is>
          <t>CNS</t>
        </is>
      </c>
      <c r="E84" s="20" t="inlineStr">
        <is>
          <t>Ecrit rayon = 7 cm</t>
        </is>
      </c>
      <c r="F84" s="20" t="inlineStr">
        <is>
          <t>Rayon et diamètre sont confondus : la définition du diamètre n'est pas mobilisée.</t>
        </is>
      </c>
    </row>
    <row r="85">
      <c r="A85" s="22" t="inlineStr">
        <is>
          <t>6eme</t>
        </is>
      </c>
      <c r="B85" s="23" t="inlineStr">
        <is>
          <t>G6</t>
        </is>
      </c>
      <c r="C85" s="22" t="inlineStr">
        <is>
          <t>G.FIG</t>
        </is>
      </c>
      <c r="D85" s="23" t="inlineStr">
        <is>
          <t>PRC</t>
        </is>
      </c>
      <c r="E85" s="22" t="inlineStr">
        <is>
          <t>Ecrit 3,5 cm mais trace un cercle de 7 cm de rayon</t>
        </is>
      </c>
      <c r="F85" s="22" t="inlineStr">
        <is>
          <t>Le calcul est juste mais le compas est ouvert au diamètre : le passage du calcul au tracé échoue.</t>
        </is>
      </c>
    </row>
    <row r="86">
      <c r="A86" s="20" t="inlineStr">
        <is>
          <t>6eme</t>
        </is>
      </c>
      <c r="B86" s="21" t="inlineStr">
        <is>
          <t>G6</t>
        </is>
      </c>
      <c r="C86" s="20" t="inlineStr">
        <is>
          <t>G.FIG</t>
        </is>
      </c>
      <c r="D86" s="21" t="inlineStr">
        <is>
          <t>RED</t>
        </is>
      </c>
      <c r="E86" s="20" t="inlineStr">
        <is>
          <t>Trace un cercle de rayon 3,5 cm sans marquer le centre O</t>
        </is>
      </c>
      <c r="F86" s="20" t="inlineStr">
        <is>
          <t>Le tracé est juste mais le centre n'est pas marqué ni nommé : la construction ne peut pas être contrôlée.</t>
        </is>
      </c>
    </row>
    <row r="87">
      <c r="A87" s="22" t="inlineStr">
        <is>
          <t>6eme</t>
        </is>
      </c>
      <c r="B87" s="23" t="inlineStr">
        <is>
          <t>G7</t>
        </is>
      </c>
      <c r="C87" s="22" t="inlineStr">
        <is>
          <t>G.ANG1</t>
        </is>
      </c>
      <c r="D87" s="23" t="inlineStr">
        <is>
          <t>MOD</t>
        </is>
      </c>
      <c r="E87" s="22" t="inlineStr">
        <is>
          <t>Ecrit 130° + 40° = 170°, angle obtus</t>
        </is>
      </c>
      <c r="F87" s="22" t="inlineStr">
        <is>
          <t>[Oz] « à l'intérieur » de l'angle n'est pas traduit : les angles sont additionnés au lieu d'être soustraits.</t>
        </is>
      </c>
    </row>
    <row r="88">
      <c r="A88" s="20" t="inlineStr">
        <is>
          <t>6eme</t>
        </is>
      </c>
      <c r="B88" s="21" t="inlineStr">
        <is>
          <t>G7</t>
        </is>
      </c>
      <c r="C88" s="20" t="inlineStr">
        <is>
          <t>G.ANG1</t>
        </is>
      </c>
      <c r="D88" s="21" t="inlineStr">
        <is>
          <t>CPT</t>
        </is>
      </c>
      <c r="E88" s="20" t="inlineStr">
        <is>
          <t>Ecrit 90°, angle aigu, Kadidiatou a raison</t>
        </is>
      </c>
      <c r="F88" s="20" t="inlineStr">
        <is>
          <t>La borne 90° est rangée parmi les angles aigus : la frontière aigu / droit est fausse.</t>
        </is>
      </c>
    </row>
    <row r="89">
      <c r="A89" s="22" t="inlineStr">
        <is>
          <t>6eme</t>
        </is>
      </c>
      <c r="B89" s="23" t="inlineStr">
        <is>
          <t>G7</t>
        </is>
      </c>
      <c r="C89" s="22" t="inlineStr">
        <is>
          <t>G.ANG1</t>
        </is>
      </c>
      <c r="D89" s="23" t="inlineStr">
        <is>
          <t>CNS</t>
        </is>
      </c>
      <c r="E89" s="22" t="inlineStr">
        <is>
          <t>Ecrit 90°, angle obtus</t>
        </is>
      </c>
      <c r="F89" s="22" t="inlineStr">
        <is>
          <t>La mesure est juste mais la classification des angles (aigu, droit, obtus) n'est pas disponible.</t>
        </is>
      </c>
    </row>
    <row r="90">
      <c r="A90" s="20" t="inlineStr">
        <is>
          <t>6eme</t>
        </is>
      </c>
      <c r="B90" s="21" t="inlineStr">
        <is>
          <t>G7</t>
        </is>
      </c>
      <c r="C90" s="20" t="inlineStr">
        <is>
          <t>G.ANG1</t>
        </is>
      </c>
      <c r="D90" s="21" t="inlineStr">
        <is>
          <t>RED</t>
        </is>
      </c>
      <c r="E90" s="20" t="inlineStr">
        <is>
          <t>Ecrit « Kadidiatou a tort » sans calculer l'angle zOy</t>
        </is>
      </c>
      <c r="F90" s="20" t="inlineStr">
        <is>
          <t>La conclusion est juste mais la mesure demandée n'est pas calculée.</t>
        </is>
      </c>
    </row>
    <row r="91">
      <c r="A91" s="22" t="inlineStr">
        <is>
          <t>6eme</t>
        </is>
      </c>
      <c r="B91" s="23" t="inlineStr">
        <is>
          <t>D3</t>
        </is>
      </c>
      <c r="C91" s="22" t="inlineStr">
        <is>
          <t>N.DIVE</t>
        </is>
      </c>
      <c r="D91" s="23" t="inlineStr">
        <is>
          <t>PRC</t>
        </is>
      </c>
      <c r="E91" s="22" t="inlineStr">
        <is>
          <t>Ecrit 59 500 : 8 500 = 70 sacs</t>
        </is>
      </c>
      <c r="F91" s="22" t="inlineStr">
        <is>
          <t>La division est bien choisie mais les zéros sont mal gérés (59 500 : 850 = 70).</t>
        </is>
      </c>
    </row>
    <row r="92">
      <c r="A92" s="20" t="inlineStr">
        <is>
          <t>6eme</t>
        </is>
      </c>
      <c r="B92" s="21" t="inlineStr">
        <is>
          <t>D3</t>
        </is>
      </c>
      <c r="C92" s="20" t="inlineStr">
        <is>
          <t>D.PROP</t>
        </is>
      </c>
      <c r="D92" s="21" t="inlineStr">
        <is>
          <t>MOD</t>
        </is>
      </c>
      <c r="E92" s="20" t="inlineStr">
        <is>
          <t>Ecrit 8 × 8 500 = 68 000 FCFA, donc le client a raison</t>
        </is>
      </c>
      <c r="F92" s="20" t="inlineStr">
        <is>
          <t>Le prix de 8 sacs est calculé mais n'est pas comparé aux 59 500 FCFA payés : le résultat n'est pas relié à la situation.</t>
        </is>
      </c>
    </row>
    <row r="93">
      <c r="A93" s="22" t="inlineStr">
        <is>
          <t>6eme</t>
        </is>
      </c>
      <c r="B93" s="23" t="inlineStr">
        <is>
          <t>D3</t>
        </is>
      </c>
      <c r="C93" s="22" t="inlineStr">
        <is>
          <t>D.PROP</t>
        </is>
      </c>
      <c r="D93" s="23" t="inlineStr">
        <is>
          <t>CPT</t>
        </is>
      </c>
      <c r="E93" s="22" t="inlineStr">
        <is>
          <t>Ecrit 59 500 × 8 500 = 505 750 000</t>
        </is>
      </c>
      <c r="F93" s="22" t="inlineStr">
        <is>
          <t>La somme payée est multipliée par le prix d'un sac : la relation total = prix unitaire × quantité n'est pas comprise.</t>
        </is>
      </c>
    </row>
    <row r="94">
      <c r="A94" s="20" t="inlineStr">
        <is>
          <t>6eme</t>
        </is>
      </c>
      <c r="B94" s="21" t="inlineStr">
        <is>
          <t>D3</t>
        </is>
      </c>
      <c r="C94" s="20" t="inlineStr">
        <is>
          <t>D.PROP</t>
        </is>
      </c>
      <c r="D94" s="21" t="inlineStr">
        <is>
          <t>RED</t>
        </is>
      </c>
      <c r="E94" s="20" t="inlineStr">
        <is>
          <t>Ecrit « 7 sacs, le client a tort » sans l'opération</t>
        </is>
      </c>
      <c r="F94" s="20" t="inlineStr">
        <is>
          <t>La réponse est juste mais l'opération qui la produit n'est pas écrite.</t>
        </is>
      </c>
    </row>
    <row r="95">
      <c r="A95" s="22" t="inlineStr">
        <is>
          <t>6eme</t>
        </is>
      </c>
      <c r="B95" s="23" t="inlineStr">
        <is>
          <t>P1.1</t>
        </is>
      </c>
      <c r="C95" s="22" t="inlineStr">
        <is>
          <t>N.ADD</t>
        </is>
      </c>
      <c r="D95" s="23" t="inlineStr">
        <is>
          <t>MOD</t>
        </is>
      </c>
      <c r="E95" s="22" t="inlineStr">
        <is>
          <t>Ecrit 360 + 180 = 540 km</t>
        </is>
      </c>
      <c r="F95" s="22" t="inlineStr">
        <is>
          <t>Les deux distances sont additionnées : la position de Boromo entre les deux villes n'est pas traduite.</t>
        </is>
      </c>
    </row>
    <row r="96">
      <c r="A96" s="20" t="inlineStr">
        <is>
          <t>6eme</t>
        </is>
      </c>
      <c r="B96" s="21" t="inlineStr">
        <is>
          <t>P1.1</t>
        </is>
      </c>
      <c r="C96" s="20" t="inlineStr">
        <is>
          <t>N.ADD</t>
        </is>
      </c>
      <c r="D96" s="21" t="inlineStr">
        <is>
          <t>PRC</t>
        </is>
      </c>
      <c r="E96" s="20" t="inlineStr">
        <is>
          <t>Ecrit 360 - 180 = 280 km, Boromo n'est pas le milieu</t>
        </is>
      </c>
      <c r="F96" s="20" t="inlineStr">
        <is>
          <t>La soustraction est bien choisie mais la retenue des dizaines est oubliée (3 - 1 au lieu de 3 - 2 aux centaines).</t>
        </is>
      </c>
    </row>
    <row r="97">
      <c r="A97" s="22" t="inlineStr">
        <is>
          <t>6eme</t>
        </is>
      </c>
      <c r="B97" s="23" t="inlineStr">
        <is>
          <t>P1.1</t>
        </is>
      </c>
      <c r="C97" s="22" t="inlineStr">
        <is>
          <t>G.VOC</t>
        </is>
      </c>
      <c r="D97" s="23" t="inlineStr">
        <is>
          <t>CPT</t>
        </is>
      </c>
      <c r="E97" s="22" t="inlineStr">
        <is>
          <t>Ecrit 180 km puis « non, le milieu est à 90 km »</t>
        </is>
      </c>
      <c r="F97" s="22" t="inlineStr">
        <is>
          <t>Le milieu est pris comme la moitié de la distance trouvée : il n'est pas relié à l'égalité des deux distances.</t>
        </is>
      </c>
    </row>
    <row r="98">
      <c r="A98" s="20" t="inlineStr">
        <is>
          <t>6eme</t>
        </is>
      </c>
      <c r="B98" s="21" t="inlineStr">
        <is>
          <t>P1.1</t>
        </is>
      </c>
      <c r="C98" s="20" t="inlineStr">
        <is>
          <t>G.VOC</t>
        </is>
      </c>
      <c r="D98" s="21" t="inlineStr">
        <is>
          <t>RED</t>
        </is>
      </c>
      <c r="E98" s="20" t="inlineStr">
        <is>
          <t>Ecrit « oui » sans calcul ni comparaison des deux distances</t>
        </is>
      </c>
      <c r="F98" s="20" t="inlineStr">
        <is>
          <t>La réponse est juste mais l'égalité 180 km = 180 km, qui la justifie, n'est pas écrite.</t>
        </is>
      </c>
    </row>
    <row r="99">
      <c r="A99" s="22" t="inlineStr">
        <is>
          <t>6eme</t>
        </is>
      </c>
      <c r="B99" s="23" t="inlineStr">
        <is>
          <t>P1.2</t>
        </is>
      </c>
      <c r="C99" s="22" t="inlineStr">
        <is>
          <t>M.CONV</t>
        </is>
      </c>
      <c r="D99" s="23" t="inlineStr">
        <is>
          <t>CPT</t>
        </is>
      </c>
      <c r="E99" s="22" t="inlineStr">
        <is>
          <t>Ecrit 8 h 70 puis 8 h 95</t>
        </is>
      </c>
      <c r="F99" s="22" t="inlineStr">
        <is>
          <t>L'heure est comptée pour 100 minutes : 6 h 40 + 2 h 30 est traité comme une addition de décimaux.</t>
        </is>
      </c>
    </row>
    <row r="100">
      <c r="A100" s="20" t="inlineStr">
        <is>
          <t>6eme</t>
        </is>
      </c>
      <c r="B100" s="21" t="inlineStr">
        <is>
          <t>P1.2</t>
        </is>
      </c>
      <c r="C100" s="20" t="inlineStr">
        <is>
          <t>M.CONV</t>
        </is>
      </c>
      <c r="D100" s="21" t="inlineStr">
        <is>
          <t>MOD</t>
        </is>
      </c>
      <c r="E100" s="20" t="inlineStr">
        <is>
          <t>Ecrit 9 h 10</t>
        </is>
      </c>
      <c r="F100" s="20" t="inlineStr">
        <is>
          <t>L'arrivée à Boromo est juste mais l'arrêt de 25 minutes n'est pas pris en compte : la question (heure de départ) n'est pas traduite.</t>
        </is>
      </c>
    </row>
    <row r="101">
      <c r="A101" s="22" t="inlineStr">
        <is>
          <t>6eme</t>
        </is>
      </c>
      <c r="B101" s="23" t="inlineStr">
        <is>
          <t>P1.2</t>
        </is>
      </c>
      <c r="C101" s="22" t="inlineStr">
        <is>
          <t>M.CONV</t>
        </is>
      </c>
      <c r="D101" s="23" t="inlineStr">
        <is>
          <t>CPT</t>
        </is>
      </c>
      <c r="E101" s="22" t="inlineStr">
        <is>
          <t>Ecrit 2 h 30 min + 25 min = 2 h 55 min</t>
        </is>
      </c>
      <c r="F101" s="22" t="inlineStr">
        <is>
          <t>Une durée est donnée à la place d'une heure : durée et horaire sont confondus.</t>
        </is>
      </c>
    </row>
    <row r="102">
      <c r="A102" s="20" t="inlineStr">
        <is>
          <t>6eme</t>
        </is>
      </c>
      <c r="B102" s="21" t="inlineStr">
        <is>
          <t>P1.2</t>
        </is>
      </c>
      <c r="C102" s="20" t="inlineStr">
        <is>
          <t>M.CONV</t>
        </is>
      </c>
      <c r="D102" s="21" t="inlineStr">
        <is>
          <t>ATT</t>
        </is>
      </c>
      <c r="E102" s="20" t="inlineStr">
        <is>
          <t>Ecrit 9 h 00 puis 9 h 25</t>
        </is>
      </c>
      <c r="F102" s="20" t="inlineStr">
        <is>
          <t>Le départ 6 h 40 est recopié 6 h 30, le reste du calcul étant juste : erreur de recopie isolée.</t>
        </is>
      </c>
    </row>
    <row r="103">
      <c r="A103" s="22" t="inlineStr">
        <is>
          <t>6eme</t>
        </is>
      </c>
      <c r="B103" s="23" t="inlineStr">
        <is>
          <t>P1.3</t>
        </is>
      </c>
      <c r="C103" s="22" t="inlineStr">
        <is>
          <t>M.CONV</t>
        </is>
      </c>
      <c r="D103" s="23" t="inlineStr">
        <is>
          <t>CPT</t>
        </is>
      </c>
      <c r="E103" s="22" t="inlineStr">
        <is>
          <t>Ecrit 11 h 80</t>
        </is>
      </c>
      <c r="F103" s="22" t="inlineStr">
        <is>
          <t>9 h 35 + 2 h 45 est calculé comme 9,35 + 2,45 : les 80 minutes ne sont pas converties en 1 h 20.</t>
        </is>
      </c>
    </row>
    <row r="104">
      <c r="A104" s="20" t="inlineStr">
        <is>
          <t>6eme</t>
        </is>
      </c>
      <c r="B104" s="21" t="inlineStr">
        <is>
          <t>P1.3</t>
        </is>
      </c>
      <c r="C104" s="20" t="inlineStr">
        <is>
          <t>M.CONV</t>
        </is>
      </c>
      <c r="D104" s="21" t="inlineStr">
        <is>
          <t>PRC</t>
        </is>
      </c>
      <c r="E104" s="20" t="inlineStr">
        <is>
          <t>Ecrit 12 h 20 - 6 h 40 = 6 h 20, donc le voyageur a tort</t>
        </is>
      </c>
      <c r="F104" s="20" t="inlineStr">
        <is>
          <t>L'heure d'arrivée est juste mais 20 - 40 devient 40 - 20 : l'emprunt d'une heure (60 min) n'est pas fait.</t>
        </is>
      </c>
    </row>
    <row r="105">
      <c r="A105" s="22" t="inlineStr">
        <is>
          <t>6eme</t>
        </is>
      </c>
      <c r="B105" s="23" t="inlineStr">
        <is>
          <t>P1.3</t>
        </is>
      </c>
      <c r="C105" s="22" t="inlineStr">
        <is>
          <t>M.CONV</t>
        </is>
      </c>
      <c r="D105" s="23" t="inlineStr">
        <is>
          <t>MOD</t>
        </is>
      </c>
      <c r="E105" s="22" t="inlineStr">
        <is>
          <t>Ecrit 2 h 30 + 2 h 45 = 5 h 15 min</t>
        </is>
      </c>
      <c r="F105" s="22" t="inlineStr">
        <is>
          <t>L'arrêt de 25 minutes est oublié : le « voyage entier » n'est pas traduit par toutes ses étapes.</t>
        </is>
      </c>
    </row>
    <row r="106">
      <c r="A106" s="20" t="inlineStr">
        <is>
          <t>6eme</t>
        </is>
      </c>
      <c r="B106" s="21" t="inlineStr">
        <is>
          <t>P1.3</t>
        </is>
      </c>
      <c r="C106" s="20" t="inlineStr">
        <is>
          <t>N.PROB</t>
        </is>
      </c>
      <c r="D106" s="21" t="inlineStr">
        <is>
          <t>RED</t>
        </is>
      </c>
      <c r="E106" s="20" t="inlineStr">
        <is>
          <t>Ecrit 5 h 40 min sans phrase de conclusion</t>
        </is>
      </c>
      <c r="F106" s="20" t="inlineStr">
        <is>
          <t>La durée est juste mais la réponse à l'affirmation du voyageur n'est pas rédigée.</t>
        </is>
      </c>
    </row>
    <row r="107">
      <c r="A107" s="22" t="inlineStr">
        <is>
          <t>6eme</t>
        </is>
      </c>
      <c r="B107" s="23" t="inlineStr">
        <is>
          <t>P2.1</t>
        </is>
      </c>
      <c r="C107" s="22" t="inlineStr">
        <is>
          <t>N.NUM</t>
        </is>
      </c>
      <c r="D107" s="23" t="inlineStr">
        <is>
          <t>MOD</t>
        </is>
      </c>
      <c r="E107" s="22" t="inlineStr">
        <is>
          <t>Ecrit 3 + 7 + 5 = 15 FCFA</t>
        </is>
      </c>
      <c r="F107" s="22" t="inlineStr">
        <is>
          <t>Le nombre de billets et de pièces est additionné : la valeur de chaque billet n'est pas prise en compte.</t>
        </is>
      </c>
    </row>
    <row r="108">
      <c r="A108" s="20" t="inlineStr">
        <is>
          <t>6eme</t>
        </is>
      </c>
      <c r="B108" s="21" t="inlineStr">
        <is>
          <t>P2.1</t>
        </is>
      </c>
      <c r="C108" s="20" t="inlineStr">
        <is>
          <t>N.NUM</t>
        </is>
      </c>
      <c r="D108" s="21" t="inlineStr">
        <is>
          <t>PRC</t>
        </is>
      </c>
      <c r="E108" s="20" t="inlineStr">
        <is>
          <t>Ecrit 30 000 + 7 000 + 50 = 37 050 FCFA</t>
        </is>
      </c>
      <c r="F108" s="20" t="inlineStr">
        <is>
          <t>5 × 100 est écrit 50 : un zéro est perdu dans le produit par 100.</t>
        </is>
      </c>
    </row>
    <row r="109">
      <c r="A109" s="22" t="inlineStr">
        <is>
          <t>6eme</t>
        </is>
      </c>
      <c r="B109" s="23" t="inlineStr">
        <is>
          <t>P2.1</t>
        </is>
      </c>
      <c r="C109" s="22" t="inlineStr">
        <is>
          <t>N.NUM</t>
        </is>
      </c>
      <c r="D109" s="23" t="inlineStr">
        <is>
          <t>CPT</t>
        </is>
      </c>
      <c r="E109" s="22" t="inlineStr">
        <is>
          <t>Ecrit 37 500 puis « trois mille sept cent cinquante »</t>
        </is>
      </c>
      <c r="F109" s="22" t="inlineStr">
        <is>
          <t>Les classes du nombre sont mal découpées (37 500 lu comme 3 750) : la classe des mille n'est pas repérée.</t>
        </is>
      </c>
    </row>
    <row r="110">
      <c r="A110" s="20" t="inlineStr">
        <is>
          <t>6eme</t>
        </is>
      </c>
      <c r="B110" s="21" t="inlineStr">
        <is>
          <t>P2.1</t>
        </is>
      </c>
      <c r="C110" s="20" t="inlineStr">
        <is>
          <t>N.NUM</t>
        </is>
      </c>
      <c r="D110" s="21" t="inlineStr">
        <is>
          <t>CNS</t>
        </is>
      </c>
      <c r="E110" s="20" t="inlineStr">
        <is>
          <t>Ecrit 37 500 FCFA sans écriture en lettres</t>
        </is>
      </c>
      <c r="F110" s="20" t="inlineStr">
        <is>
          <t>Le passage de l'écriture chiffrée à l'écriture en lettres n'est pas disponible.</t>
        </is>
      </c>
    </row>
    <row r="111">
      <c r="A111" s="22" t="inlineStr">
        <is>
          <t>6eme</t>
        </is>
      </c>
      <c r="B111" s="23" t="inlineStr">
        <is>
          <t>P2.2</t>
        </is>
      </c>
      <c r="C111" s="22" t="inlineStr">
        <is>
          <t>D.POUR</t>
        </is>
      </c>
      <c r="D111" s="23" t="inlineStr">
        <is>
          <t>CNS</t>
        </is>
      </c>
      <c r="E111" s="22" t="inlineStr">
        <is>
          <t>Ecrit 20 FCFA</t>
        </is>
      </c>
      <c r="F111" s="22" t="inlineStr">
        <is>
          <t>Le sens de « 20 % » n'est pas disponible : le nombre 20 est pris pour un montant.</t>
        </is>
      </c>
    </row>
    <row r="112">
      <c r="A112" s="20" t="inlineStr">
        <is>
          <t>6eme</t>
        </is>
      </c>
      <c r="B112" s="21" t="inlineStr">
        <is>
          <t>P2.2</t>
        </is>
      </c>
      <c r="C112" s="20" t="inlineStr">
        <is>
          <t>D.POUR</t>
        </is>
      </c>
      <c r="D112" s="21" t="inlineStr">
        <is>
          <t>CPT</t>
        </is>
      </c>
      <c r="E112" s="20" t="inlineStr">
        <is>
          <t>Ecrit 37 500 : 20 = 1 875 FCFA</t>
        </is>
      </c>
      <c r="F112" s="20" t="inlineStr">
        <is>
          <t>Prendre 20 % est compris comme diviser par 20 : le pourcentage est confondu avec un partage.</t>
        </is>
      </c>
    </row>
    <row r="113">
      <c r="A113" s="22" t="inlineStr">
        <is>
          <t>6eme</t>
        </is>
      </c>
      <c r="B113" s="23" t="inlineStr">
        <is>
          <t>P2.2</t>
        </is>
      </c>
      <c r="C113" s="22" t="inlineStr">
        <is>
          <t>N.DIVE</t>
        </is>
      </c>
      <c r="D113" s="23" t="inlineStr">
        <is>
          <t>PRC</t>
        </is>
      </c>
      <c r="E113" s="22" t="inlineStr">
        <is>
          <t>Ecrit 37 500 : 100 = 3 750 puis 3 750 × 20 = 75 000 FCFA</t>
        </is>
      </c>
      <c r="F113" s="22" t="inlineStr">
        <is>
          <t>La méthode est juste mais la division par 100 ne retire qu'un zéro.</t>
        </is>
      </c>
    </row>
    <row r="114">
      <c r="A114" s="20" t="inlineStr">
        <is>
          <t>6eme</t>
        </is>
      </c>
      <c r="B114" s="21" t="inlineStr">
        <is>
          <t>P2.2</t>
        </is>
      </c>
      <c r="C114" s="20" t="inlineStr">
        <is>
          <t>D.POUR</t>
        </is>
      </c>
      <c r="D114" s="21" t="inlineStr">
        <is>
          <t>MOD</t>
        </is>
      </c>
      <c r="E114" s="20" t="inlineStr">
        <is>
          <t>Ecrit 37 500 + 7 500 = 45 000 FCFA</t>
        </is>
      </c>
      <c r="F114" s="20" t="inlineStr">
        <is>
          <t>Le nouveau total est donné à la place du montant ajouté : la question posée n'est pas lue.</t>
        </is>
      </c>
    </row>
    <row r="115">
      <c r="A115" s="22" t="inlineStr">
        <is>
          <t>6eme</t>
        </is>
      </c>
      <c r="B115" s="23" t="inlineStr">
        <is>
          <t>P2.3</t>
        </is>
      </c>
      <c r="C115" s="22" t="inlineStr">
        <is>
          <t>N.PROB</t>
        </is>
      </c>
      <c r="D115" s="23" t="inlineStr">
        <is>
          <t>MOD</t>
        </is>
      </c>
      <c r="E115" s="22" t="inlineStr">
        <is>
          <t>Ecrit 60 000 - 37 500 = 22 500 FCFA</t>
        </is>
      </c>
      <c r="F115" s="22" t="inlineStr">
        <is>
          <t>L'apport de la mairie est oublié : la somme disponible n'est pas reconstituée avant la comparaison.</t>
        </is>
      </c>
    </row>
    <row r="116">
      <c r="A116" s="20" t="inlineStr">
        <is>
          <t>6eme</t>
        </is>
      </c>
      <c r="B116" s="21" t="inlineStr">
        <is>
          <t>P2.3</t>
        </is>
      </c>
      <c r="C116" s="20" t="inlineStr">
        <is>
          <t>N.ADD</t>
        </is>
      </c>
      <c r="D116" s="21" t="inlineStr">
        <is>
          <t>PRC</t>
        </is>
      </c>
      <c r="E116" s="20" t="inlineStr">
        <is>
          <t>Ecrit 37 500 + 7 500 = 44 000 FCFA, il manque 16 000 FCFA</t>
        </is>
      </c>
      <c r="F116" s="20" t="inlineStr">
        <is>
          <t>La démarche est juste mais la retenue des centaines (5 + 5 = 10) n'est pas reportée.</t>
        </is>
      </c>
    </row>
    <row r="117">
      <c r="A117" s="22" t="inlineStr">
        <is>
          <t>6eme</t>
        </is>
      </c>
      <c r="B117" s="23" t="inlineStr">
        <is>
          <t>P2.3</t>
        </is>
      </c>
      <c r="C117" s="22" t="inlineStr">
        <is>
          <t>N.ADD</t>
        </is>
      </c>
      <c r="D117" s="23" t="inlineStr">
        <is>
          <t>PRC</t>
        </is>
      </c>
      <c r="E117" s="22" t="inlineStr">
        <is>
          <t>Ecrit 60 000 - 45 000 = 25 000 FCFA</t>
        </is>
      </c>
      <c r="F117" s="22" t="inlineStr">
        <is>
          <t>La soustraction est bien choisie mais l'emprunt sur les dizaines de mille est oublié.</t>
        </is>
      </c>
    </row>
    <row r="118">
      <c r="A118" s="20" t="inlineStr">
        <is>
          <t>6eme</t>
        </is>
      </c>
      <c r="B118" s="21" t="inlineStr">
        <is>
          <t>P2.3</t>
        </is>
      </c>
      <c r="C118" s="20" t="inlineStr">
        <is>
          <t>N.PROB</t>
        </is>
      </c>
      <c r="D118" s="21" t="inlineStr">
        <is>
          <t>RED</t>
        </is>
      </c>
      <c r="E118" s="20" t="inlineStr">
        <is>
          <t>Ecrit 15 000 FCFA sans comparaison ni phrase de conclusion</t>
        </is>
      </c>
      <c r="F118" s="20" t="inlineStr">
        <is>
          <t>Le calcul est juste mais la décision (l'association ne peut pas payer) n'est pas rédigée.</t>
        </is>
      </c>
    </row>
    <row r="119">
      <c r="A119" s="22" t="inlineStr">
        <is>
          <t>6eme</t>
        </is>
      </c>
      <c r="B119" s="23" t="inlineStr">
        <is>
          <t>P2.3</t>
        </is>
      </c>
      <c r="C119" s="22" t="inlineStr">
        <is>
          <t>N.PROB</t>
        </is>
      </c>
      <c r="D119" s="23" t="inlineStr">
        <is>
          <t>ATT</t>
        </is>
      </c>
      <c r="E119" s="22" t="inlineStr">
        <is>
          <t>Ecrit 45 000 &lt; 60 000, donc l'association peut payer</t>
        </is>
      </c>
      <c r="F119" s="22" t="inlineStr">
        <is>
          <t>La comparaison est juste et la conclusion la contredit : erreur isolée.</t>
        </is>
      </c>
    </row>
    <row r="120">
      <c r="A120" s="20" t="inlineStr">
        <is>
          <t>6eme</t>
        </is>
      </c>
      <c r="B120" s="21" t="inlineStr">
        <is>
          <t>P3.1</t>
        </is>
      </c>
      <c r="C120" s="20" t="inlineStr">
        <is>
          <t>N.DIVE</t>
        </is>
      </c>
      <c r="D120" s="21" t="inlineStr">
        <is>
          <t>PRC</t>
        </is>
      </c>
      <c r="E120" s="20" t="inlineStr">
        <is>
          <t>Ecrit 2 400 : 100 = 240 sacs</t>
        </is>
      </c>
      <c r="F120" s="20" t="inlineStr">
        <is>
          <t>La division par 100 est bien choisie mais un seul zéro est retiré.</t>
        </is>
      </c>
    </row>
    <row r="121">
      <c r="A121" s="22" t="inlineStr">
        <is>
          <t>6eme</t>
        </is>
      </c>
      <c r="B121" s="23" t="inlineStr">
        <is>
          <t>P3.1</t>
        </is>
      </c>
      <c r="C121" s="22" t="inlineStr">
        <is>
          <t>N.DIVE</t>
        </is>
      </c>
      <c r="D121" s="23" t="inlineStr">
        <is>
          <t>CPT</t>
        </is>
      </c>
      <c r="E121" s="22" t="inlineStr">
        <is>
          <t>Ecrit 2 400 × 100 = 240 000 sacs</t>
        </is>
      </c>
      <c r="F121" s="22" t="inlineStr">
        <is>
          <t>La multiplication est choisie pour un partage : le sens de la division (combien de fois 100 kg) n'est pas compris.</t>
        </is>
      </c>
    </row>
    <row r="122">
      <c r="A122" s="20" t="inlineStr">
        <is>
          <t>6eme</t>
        </is>
      </c>
      <c r="B122" s="21" t="inlineStr">
        <is>
          <t>P3.1</t>
        </is>
      </c>
      <c r="C122" s="20" t="inlineStr">
        <is>
          <t>N.DIVE</t>
        </is>
      </c>
      <c r="D122" s="21" t="inlineStr">
        <is>
          <t>MOD</t>
        </is>
      </c>
      <c r="E122" s="20" t="inlineStr">
        <is>
          <t>Ecrit 2 400 : 180 = 13 reste 60</t>
        </is>
      </c>
      <c r="F122" s="20" t="inlineStr">
        <is>
          <t>La donnée inutile (180 km) est utilisée : les données ne sont pas triées.</t>
        </is>
      </c>
    </row>
    <row r="123">
      <c r="A123" s="22" t="inlineStr">
        <is>
          <t>6eme</t>
        </is>
      </c>
      <c r="B123" s="23" t="inlineStr">
        <is>
          <t>P3.1</t>
        </is>
      </c>
      <c r="C123" s="22" t="inlineStr">
        <is>
          <t>N.DIVE</t>
        </is>
      </c>
      <c r="D123" s="23" t="inlineStr">
        <is>
          <t>RED</t>
        </is>
      </c>
      <c r="E123" s="22" t="inlineStr">
        <is>
          <t>Ecrit 24 sacs sans l'opération</t>
        </is>
      </c>
      <c r="F123" s="22" t="inlineStr">
        <is>
          <t>Le résultat est juste mais le choix de la division, qui vaut un point, n'apparaît pas.</t>
        </is>
      </c>
    </row>
    <row r="124">
      <c r="A124" s="20" t="inlineStr">
        <is>
          <t>6eme</t>
        </is>
      </c>
      <c r="B124" s="21" t="inlineStr">
        <is>
          <t>P3.2</t>
        </is>
      </c>
      <c r="C124" s="20" t="inlineStr">
        <is>
          <t>D.PROP</t>
        </is>
      </c>
      <c r="D124" s="21" t="inlineStr">
        <is>
          <t>MOD</t>
        </is>
      </c>
      <c r="E124" s="20" t="inlineStr">
        <is>
          <t>Ecrit B = (20 000 + 600) × 24 = 494 400 FCFA</t>
        </is>
      </c>
      <c r="F124" s="20" t="inlineStr">
        <is>
          <t>Le prix du camion est multiplié par le nombre de sacs : la part fixe n'est pas distinguée de la part par sac.</t>
        </is>
      </c>
    </row>
    <row r="125">
      <c r="A125" s="22" t="inlineStr">
        <is>
          <t>6eme</t>
        </is>
      </c>
      <c r="B125" s="23" t="inlineStr">
        <is>
          <t>P3.2</t>
        </is>
      </c>
      <c r="C125" s="22" t="inlineStr">
        <is>
          <t>D.PROP</t>
        </is>
      </c>
      <c r="D125" s="23" t="inlineStr">
        <is>
          <t>CPT</t>
        </is>
      </c>
      <c r="E125" s="22" t="inlineStr">
        <is>
          <t>Ecrit A = 1 500 FCFA et B = 20 000 + 600 = 20 600 FCFA</t>
        </is>
      </c>
      <c r="F125" s="22" t="inlineStr">
        <is>
          <t>Le tarif « par sac » est lu comme un prix total : la proportionnalité au nombre de sacs n'est pas comprise.</t>
        </is>
      </c>
    </row>
    <row r="126">
      <c r="A126" s="20" t="inlineStr">
        <is>
          <t>6eme</t>
        </is>
      </c>
      <c r="B126" s="21" t="inlineStr">
        <is>
          <t>P3.2</t>
        </is>
      </c>
      <c r="C126" s="20" t="inlineStr">
        <is>
          <t>N.MUL</t>
        </is>
      </c>
      <c r="D126" s="21" t="inlineStr">
        <is>
          <t>PRC</t>
        </is>
      </c>
      <c r="E126" s="20" t="inlineStr">
        <is>
          <t>Ecrit 24 × 600 = 1 440, donc B = 21 440 FCFA</t>
        </is>
      </c>
      <c r="F126" s="20" t="inlineStr">
        <is>
          <t>La démarche est juste mais un zéro est perdu dans le produit 24 × 600.</t>
        </is>
      </c>
    </row>
    <row r="127">
      <c r="A127" s="22" t="inlineStr">
        <is>
          <t>6eme</t>
        </is>
      </c>
      <c r="B127" s="23" t="inlineStr">
        <is>
          <t>P3.2</t>
        </is>
      </c>
      <c r="C127" s="22" t="inlineStr">
        <is>
          <t>D.PROP</t>
        </is>
      </c>
      <c r="D127" s="23" t="inlineStr">
        <is>
          <t>RED</t>
        </is>
      </c>
      <c r="E127" s="22" t="inlineStr">
        <is>
          <t>Ecrit A = 36 000 FCFA et B = 34 400 FCFA sans aucun calcul</t>
        </is>
      </c>
      <c r="F127" s="22" t="inlineStr">
        <is>
          <t>Les résultats sont justes mais les calculs, notés séparément, ne sont pas écrits.</t>
        </is>
      </c>
    </row>
    <row r="128">
      <c r="A128" s="20" t="inlineStr">
        <is>
          <t>6eme</t>
        </is>
      </c>
      <c r="B128" s="21" t="inlineStr">
        <is>
          <t>P3.3</t>
        </is>
      </c>
      <c r="C128" s="20" t="inlineStr">
        <is>
          <t>N.CMP</t>
        </is>
      </c>
      <c r="D128" s="21" t="inlineStr">
        <is>
          <t>CPT</t>
        </is>
      </c>
      <c r="E128" s="20" t="inlineStr">
        <is>
          <t>Ecrit « Hamidou a raison, car 34 400 &lt; 36 000 »</t>
        </is>
      </c>
      <c r="F128" s="20" t="inlineStr">
        <is>
          <t>Un seul cas est jugé suffisant pour conclure « toujours » : la généralisation n'est pas contrôlée sur 10 sacs.</t>
        </is>
      </c>
    </row>
    <row r="129">
      <c r="A129" s="22" t="inlineStr">
        <is>
          <t>6eme</t>
        </is>
      </c>
      <c r="B129" s="23" t="inlineStr">
        <is>
          <t>P3.3</t>
        </is>
      </c>
      <c r="C129" s="22" t="inlineStr">
        <is>
          <t>N.CMP</t>
        </is>
      </c>
      <c r="D129" s="23" t="inlineStr">
        <is>
          <t>MOD</t>
        </is>
      </c>
      <c r="E129" s="22" t="inlineStr">
        <is>
          <t>Ecrit B = 10 × 600 = 6 000 FCFA, moins cher que 15 000, Hamidou a raison</t>
        </is>
      </c>
      <c r="F129" s="22" t="inlineStr">
        <is>
          <t>Les 20 000 FCFA du camion sont oubliés pour 10 sacs : la part fixe n'est pas reprise dans le nouveau cas.</t>
        </is>
      </c>
    </row>
    <row r="130">
      <c r="A130" s="20" t="inlineStr">
        <is>
          <t>6eme</t>
        </is>
      </c>
      <c r="B130" s="21" t="inlineStr">
        <is>
          <t>P3.3</t>
        </is>
      </c>
      <c r="C130" s="20" t="inlineStr">
        <is>
          <t>N.MUL</t>
        </is>
      </c>
      <c r="D130" s="21" t="inlineStr">
        <is>
          <t>PRC</t>
        </is>
      </c>
      <c r="E130" s="20" t="inlineStr">
        <is>
          <t>Ecrit 10 × 600 = 600, donc B = 20 600 FCFA</t>
        </is>
      </c>
      <c r="F130" s="20" t="inlineStr">
        <is>
          <t>Le produit par 10 perd un zéro ; la comparaison et la conclusion restent justes.</t>
        </is>
      </c>
    </row>
    <row r="131">
      <c r="A131" s="22" t="inlineStr">
        <is>
          <t>6eme</t>
        </is>
      </c>
      <c r="B131" s="23" t="inlineStr">
        <is>
          <t>P3.3</t>
        </is>
      </c>
      <c r="C131" s="22" t="inlineStr">
        <is>
          <t>N.CMP</t>
        </is>
      </c>
      <c r="D131" s="23" t="inlineStr">
        <is>
          <t>RED</t>
        </is>
      </c>
      <c r="E131" s="22" t="inlineStr">
        <is>
          <t>Ecrit « Hamidou a tort » sans calculer les deux prix pour 10 sacs</t>
        </is>
      </c>
      <c r="F131" s="22" t="inlineStr">
        <is>
          <t>La conclusion est juste mais elle n'est appuyée sur aucun calcul.</t>
        </is>
      </c>
    </row>
    <row r="132">
      <c r="A132" s="20" t="inlineStr">
        <is>
          <t>6eme</t>
        </is>
      </c>
      <c r="B132" s="21" t="inlineStr">
        <is>
          <t>P3.3</t>
        </is>
      </c>
      <c r="C132" s="20" t="inlineStr">
        <is>
          <t>N.CMP</t>
        </is>
      </c>
      <c r="D132" s="21" t="inlineStr">
        <is>
          <t>ATT</t>
        </is>
      </c>
      <c r="E132" s="20" t="inlineStr">
        <is>
          <t>Ecrit A = 15 000 et B = 26 000, donc B est la moins chère</t>
        </is>
      </c>
      <c r="F132" s="20" t="inlineStr">
        <is>
          <t>Les deux prix sont justes et la comparaison est inversée : erreur isolée.</t>
        </is>
      </c>
    </row>
    <row r="133">
      <c r="A133" s="22" t="inlineStr">
        <is>
          <t>5eme</t>
        </is>
      </c>
      <c r="B133" s="23" t="inlineStr">
        <is>
          <t>N1</t>
        </is>
      </c>
      <c r="C133" s="22" t="inlineStr">
        <is>
          <t>N.NUM</t>
        </is>
      </c>
      <c r="D133" s="23" t="inlineStr">
        <is>
          <t>CPT</t>
        </is>
      </c>
      <c r="E133" s="22" t="inlineStr">
        <is>
          <t>Ecrit 5,34</t>
        </is>
      </c>
      <c r="F133" s="22" t="inlineStr">
        <is>
          <t>Le nombre de millièmes est écrit juste après la virgule : l'élève croit que le nom de la fraction décimale ne fixe pas le rang des chiffres.</t>
        </is>
      </c>
    </row>
    <row r="134">
      <c r="A134" s="20" t="inlineStr">
        <is>
          <t>5eme</t>
        </is>
      </c>
      <c r="B134" s="21" t="inlineStr">
        <is>
          <t>N1</t>
        </is>
      </c>
      <c r="C134" s="20" t="inlineStr">
        <is>
          <t>N.NUM</t>
        </is>
      </c>
      <c r="D134" s="21" t="inlineStr">
        <is>
          <t>CPT</t>
        </is>
      </c>
      <c r="E134" s="20" t="inlineStr">
        <is>
          <t>Ecrit 5 034</t>
        </is>
      </c>
      <c r="F134" s="20" t="inlineStr">
        <is>
          <t>Millièmes et milliers sont confondus : le nombre est entendu « cinq mille trente-quatre » et la virgule disparaît, confusion stable entre deux rangs.</t>
        </is>
      </c>
    </row>
    <row r="135">
      <c r="A135" s="22" t="inlineStr">
        <is>
          <t>5eme</t>
        </is>
      </c>
      <c r="B135" s="23" t="inlineStr">
        <is>
          <t>N1</t>
        </is>
      </c>
      <c r="C135" s="22" t="inlineStr">
        <is>
          <t>N.NUM</t>
        </is>
      </c>
      <c r="D135" s="23" t="inlineStr">
        <is>
          <t>ATT</t>
        </is>
      </c>
      <c r="E135" s="22" t="inlineStr">
        <is>
          <t>Ecrit 5,043</t>
        </is>
      </c>
      <c r="F135" s="22" t="inlineStr">
        <is>
          <t>Les chiffres 3 et 4 sont permutés en recopiant : erreur ponctuelle, le rang des millièmes est par ailleurs respecté.</t>
        </is>
      </c>
    </row>
    <row r="136">
      <c r="A136" s="20" t="inlineStr">
        <is>
          <t>5eme</t>
        </is>
      </c>
      <c r="B136" s="21" t="inlineStr">
        <is>
          <t>N2</t>
        </is>
      </c>
      <c r="C136" s="20" t="inlineStr">
        <is>
          <t>N.PRIO</t>
        </is>
      </c>
      <c r="D136" s="21" t="inlineStr">
        <is>
          <t>CPT</t>
        </is>
      </c>
      <c r="E136" s="20" t="inlineStr">
        <is>
          <t>Ecrit 52</t>
        </is>
      </c>
      <c r="F136" s="20" t="inlineStr">
        <is>
          <t>La parenthèse est calculée mais 30 - 4 est fait avant la multiplication ((30 - 4) × 2) : l'élève croit que l'ordre de lecture prime.</t>
        </is>
      </c>
    </row>
    <row r="137">
      <c r="A137" s="22" t="inlineStr">
        <is>
          <t>5eme</t>
        </is>
      </c>
      <c r="B137" s="23" t="inlineStr">
        <is>
          <t>N2</t>
        </is>
      </c>
      <c r="C137" s="22" t="inlineStr">
        <is>
          <t>N.PRIO</t>
        </is>
      </c>
      <c r="D137" s="23" t="inlineStr">
        <is>
          <t>CNS</t>
        </is>
      </c>
      <c r="E137" s="22" t="inlineStr">
        <is>
          <t>Ecrit 177</t>
        </is>
      </c>
      <c r="F137" s="22" t="inlineStr">
        <is>
          <t>Calcul de gauche à droite sans parenthèse ni priorité (30 - 4 = 26, 26 × 7 = 182, 182 - 5 = 177) : aucune règle n'est mobilisée.</t>
        </is>
      </c>
    </row>
    <row r="138">
      <c r="A138" s="20" t="inlineStr">
        <is>
          <t>5eme</t>
        </is>
      </c>
      <c r="B138" s="21" t="inlineStr">
        <is>
          <t>N2</t>
        </is>
      </c>
      <c r="C138" s="20" t="inlineStr">
        <is>
          <t>N.PRIO</t>
        </is>
      </c>
      <c r="D138" s="21" t="inlineStr">
        <is>
          <t>ATT</t>
        </is>
      </c>
      <c r="E138" s="20" t="inlineStr">
        <is>
          <t>Ecrit 18</t>
        </is>
      </c>
      <c r="F138" s="20" t="inlineStr">
        <is>
          <t>7 - 5 est calculé 3, puis 30 - 4 × 3 = 18 est juste : l'ordre des calculs est bon, seule une soustraction élémentaire est ratée.</t>
        </is>
      </c>
    </row>
    <row r="139">
      <c r="A139" s="22" t="inlineStr">
        <is>
          <t>5eme</t>
        </is>
      </c>
      <c r="B139" s="23" t="inlineStr">
        <is>
          <t>N3</t>
        </is>
      </c>
      <c r="C139" s="22" t="inlineStr">
        <is>
          <t>N.REL</t>
        </is>
      </c>
      <c r="D139" s="23" t="inlineStr">
        <is>
          <t>CPT</t>
        </is>
      </c>
      <c r="E139" s="22" t="inlineStr">
        <is>
          <t>Ecrit -1 &lt; -3 &lt; -9 &lt; +2</t>
        </is>
      </c>
      <c r="F139" s="22" t="inlineStr">
        <is>
          <t>Les négatifs sont rangés selon leur distance à zéro : l'élève croit que -9 est plus grand que -1, confusion classique et reproductible.</t>
        </is>
      </c>
    </row>
    <row r="140">
      <c r="A140" s="20" t="inlineStr">
        <is>
          <t>5eme</t>
        </is>
      </c>
      <c r="B140" s="21" t="inlineStr">
        <is>
          <t>N3</t>
        </is>
      </c>
      <c r="C140" s="20" t="inlineStr">
        <is>
          <t>N.REL</t>
        </is>
      </c>
      <c r="D140" s="21" t="inlineStr">
        <is>
          <t>CNS</t>
        </is>
      </c>
      <c r="E140" s="20" t="inlineStr">
        <is>
          <t>Ecrit -1 ; +2 ; -3 ; -9</t>
        </is>
      </c>
      <c r="F140" s="20" t="inlineStr">
        <is>
          <t>Les nombres sont rangés d'après leurs chiffres 1, 2, 3, 9 : le signe n'est pas pris en compte, la notion de nombre négatif n'est pas mobilisée.</t>
        </is>
      </c>
    </row>
    <row r="141">
      <c r="A141" s="22" t="inlineStr">
        <is>
          <t>5eme</t>
        </is>
      </c>
      <c r="B141" s="23" t="inlineStr">
        <is>
          <t>N3</t>
        </is>
      </c>
      <c r="C141" s="22" t="inlineStr">
        <is>
          <t>N.REL</t>
        </is>
      </c>
      <c r="D141" s="23" t="inlineStr">
        <is>
          <t>ATT</t>
        </is>
      </c>
      <c r="E141" s="22" t="inlineStr">
        <is>
          <t>Ecrit +2 ; -1 ; -3 ; -9</t>
        </is>
      </c>
      <c r="F141" s="22" t="inlineStr">
        <is>
          <t>Le rangement est juste mais décroissant : la consigne « ordre croissant » est mal lue alors que la comparaison est maîtrisée.</t>
        </is>
      </c>
    </row>
    <row r="142">
      <c r="A142" s="20" t="inlineStr">
        <is>
          <t>5eme</t>
        </is>
      </c>
      <c r="B142" s="21" t="inlineStr">
        <is>
          <t>N4</t>
        </is>
      </c>
      <c r="C142" s="20" t="inlineStr">
        <is>
          <t>N.AST</t>
        </is>
      </c>
      <c r="D142" s="21" t="inlineStr">
        <is>
          <t>CPT</t>
        </is>
      </c>
      <c r="E142" s="20" t="inlineStr">
        <is>
          <t>Ecrit 1 699</t>
        </is>
      </c>
      <c r="F142" s="20" t="inlineStr">
        <is>
          <t>17 × 99 est calculé comme 17 × 100 - 1 : la distributivité n'est appliquée qu'au premier terme de 100 - 1.</t>
        </is>
      </c>
    </row>
    <row r="143">
      <c r="A143" s="22" t="inlineStr">
        <is>
          <t>5eme</t>
        </is>
      </c>
      <c r="B143" s="23" t="inlineStr">
        <is>
          <t>N4</t>
        </is>
      </c>
      <c r="C143" s="22" t="inlineStr">
        <is>
          <t>N.AST</t>
        </is>
      </c>
      <c r="D143" s="23" t="inlineStr">
        <is>
          <t>PRC</t>
        </is>
      </c>
      <c r="E143" s="22" t="inlineStr">
        <is>
          <t>Ecrit 1 693</t>
        </is>
      </c>
      <c r="F143" s="22" t="inlineStr">
        <is>
          <t>La décomposition 17 × 100 - 17 est juste mais la retenue des dizaines est oubliée dans 1 700 - 17.</t>
        </is>
      </c>
    </row>
    <row r="144">
      <c r="A144" s="20" t="inlineStr">
        <is>
          <t>5eme</t>
        </is>
      </c>
      <c r="B144" s="21" t="inlineStr">
        <is>
          <t>N4</t>
        </is>
      </c>
      <c r="C144" s="20" t="inlineStr">
        <is>
          <t>N.AST</t>
        </is>
      </c>
      <c r="D144" s="21" t="inlineStr">
        <is>
          <t>CNS</t>
        </is>
      </c>
      <c r="E144" s="20" t="inlineStr">
        <is>
          <t>Ecrit 1 700</t>
        </is>
      </c>
      <c r="F144" s="20" t="inlineStr">
        <is>
          <t>99 est remplacé par 100 sans correction : la décomposition 99 = 100 - 1 n'est pas disponible, l'astuce devient une valeur approchée.</t>
        </is>
      </c>
    </row>
    <row r="145">
      <c r="A145" s="22" t="inlineStr">
        <is>
          <t>5eme</t>
        </is>
      </c>
      <c r="B145" s="23" t="inlineStr">
        <is>
          <t>N5</t>
        </is>
      </c>
      <c r="C145" s="22" t="inlineStr">
        <is>
          <t>N.EGT</t>
        </is>
      </c>
      <c r="D145" s="23" t="inlineStr">
        <is>
          <t>CPT</t>
        </is>
      </c>
      <c r="E145" s="22" t="inlineStr">
        <is>
          <t>Ecrit 19</t>
        </is>
      </c>
      <c r="F145" s="22" t="inlineStr">
        <is>
          <t>L'élève défait la division par une addition (13 + 6) : l'opération inverse de la division n'est pas comprise.</t>
        </is>
      </c>
    </row>
    <row r="146">
      <c r="A146" s="20" t="inlineStr">
        <is>
          <t>5eme</t>
        </is>
      </c>
      <c r="B146" s="21" t="inlineStr">
        <is>
          <t>N5</t>
        </is>
      </c>
      <c r="C146" s="20" t="inlineStr">
        <is>
          <t>N.EGT</t>
        </is>
      </c>
      <c r="D146" s="21" t="inlineStr">
        <is>
          <t>PRQ</t>
        </is>
      </c>
      <c r="E146" s="20" t="inlineStr">
        <is>
          <t>Ecrit 68</t>
        </is>
      </c>
      <c r="F146" s="20" t="inlineStr">
        <is>
          <t>L'opération 13 × 6 est bien choisie mais la retenue de 3 × 6 = 18 est oubliée : la multiplication posée avec retenue (acquis du primaire) n'est pas sûre.</t>
        </is>
      </c>
    </row>
    <row r="147">
      <c r="A147" s="22" t="inlineStr">
        <is>
          <t>5eme</t>
        </is>
      </c>
      <c r="B147" s="23" t="inlineStr">
        <is>
          <t>N5</t>
        </is>
      </c>
      <c r="C147" s="22" t="inlineStr">
        <is>
          <t>N.EGT</t>
        </is>
      </c>
      <c r="D147" s="23" t="inlineStr">
        <is>
          <t>ATT</t>
        </is>
      </c>
      <c r="E147" s="22" t="inlineStr">
        <is>
          <t>Ecrit 87</t>
        </is>
      </c>
      <c r="F147" s="22" t="inlineStr">
        <is>
          <t>Le produit 78 est trouvé mais ses chiffres sont inversés en recopiant : erreur isolée sans logique.</t>
        </is>
      </c>
    </row>
    <row r="148">
      <c r="A148" s="20" t="inlineStr">
        <is>
          <t>5eme</t>
        </is>
      </c>
      <c r="B148" s="21" t="inlineStr">
        <is>
          <t>N6</t>
        </is>
      </c>
      <c r="C148" s="20" t="inlineStr">
        <is>
          <t>N.FRA1</t>
        </is>
      </c>
      <c r="D148" s="21" t="inlineStr">
        <is>
          <t>CNS</t>
        </is>
      </c>
      <c r="E148" s="20" t="inlineStr">
        <is>
          <t>Entoure a) 18/24</t>
        </is>
      </c>
      <c r="F148" s="20" t="inlineStr">
        <is>
          <t>Une seule simplification par 2 est jugée suffisante : la notion de fraction irréductible n'est pas disponible.</t>
        </is>
      </c>
    </row>
    <row r="149">
      <c r="A149" s="22" t="inlineStr">
        <is>
          <t>5eme</t>
        </is>
      </c>
      <c r="B149" s="23" t="inlineStr">
        <is>
          <t>N6</t>
        </is>
      </c>
      <c r="C149" s="22" t="inlineStr">
        <is>
          <t>N.FRA1</t>
        </is>
      </c>
      <c r="D149" s="23" t="inlineStr">
        <is>
          <t>PRC</t>
        </is>
      </c>
      <c r="E149" s="22" t="inlineStr">
        <is>
          <t>Entoure c) 6/8</t>
        </is>
      </c>
      <c r="F149" s="22" t="inlineStr">
        <is>
          <t>La simplification par 6 est juste mais arrêtée trop tôt : 6 et 8 ont encore 2 en commun, la vérification finale est omise.</t>
        </is>
      </c>
    </row>
    <row r="150">
      <c r="A150" s="20" t="inlineStr">
        <is>
          <t>5eme</t>
        </is>
      </c>
      <c r="B150" s="21" t="inlineStr">
        <is>
          <t>N6</t>
        </is>
      </c>
      <c r="C150" s="20" t="inlineStr">
        <is>
          <t>N.FRA1</t>
        </is>
      </c>
      <c r="D150" s="21" t="inlineStr">
        <is>
          <t>CPT</t>
        </is>
      </c>
      <c r="E150" s="20" t="inlineStr">
        <is>
          <t>Entoure d) 4/3</t>
        </is>
      </c>
      <c r="F150" s="20" t="inlineStr">
        <is>
          <t>La simplification par 12 est faite mais numérateur et dénominateur sont échangés : les rôles des deux termes sont confondus.</t>
        </is>
      </c>
    </row>
    <row r="151">
      <c r="A151" s="22" t="inlineStr">
        <is>
          <t>5eme</t>
        </is>
      </c>
      <c r="B151" s="23" t="inlineStr">
        <is>
          <t>M1</t>
        </is>
      </c>
      <c r="C151" s="22" t="inlineStr">
        <is>
          <t>M.CONV</t>
        </is>
      </c>
      <c r="D151" s="23" t="inlineStr">
        <is>
          <t>PRC</t>
        </is>
      </c>
      <c r="E151" s="22" t="inlineStr">
        <is>
          <t>Ecrit 42 L</t>
        </is>
      </c>
      <c r="F151" s="22" t="inlineStr">
        <is>
          <t>Le sens de la conversion est bon mais la virgule n'est décalée que d'un rang au lieu de deux.</t>
        </is>
      </c>
    </row>
    <row r="152">
      <c r="A152" s="20" t="inlineStr">
        <is>
          <t>5eme</t>
        </is>
      </c>
      <c r="B152" s="21" t="inlineStr">
        <is>
          <t>M1</t>
        </is>
      </c>
      <c r="C152" s="20" t="inlineStr">
        <is>
          <t>M.CONV</t>
        </is>
      </c>
      <c r="D152" s="21" t="inlineStr">
        <is>
          <t>CPT</t>
        </is>
      </c>
      <c r="E152" s="20" t="inlineStr">
        <is>
          <t>Ecrit 0,042 L</t>
        </is>
      </c>
      <c r="F152" s="20" t="inlineStr">
        <is>
          <t>La conversion est faite dans le mauvais sens (division par 100) : passer à une unité plus petite n'est pas compris comme une multiplication.</t>
        </is>
      </c>
    </row>
    <row r="153">
      <c r="A153" s="22" t="inlineStr">
        <is>
          <t>5eme</t>
        </is>
      </c>
      <c r="B153" s="23" t="inlineStr">
        <is>
          <t>M1</t>
        </is>
      </c>
      <c r="C153" s="22" t="inlineStr">
        <is>
          <t>M.CONV</t>
        </is>
      </c>
      <c r="D153" s="23" t="inlineStr">
        <is>
          <t>CNS</t>
        </is>
      </c>
      <c r="E153" s="22" t="inlineStr">
        <is>
          <t>Ecrit 4 200 L</t>
        </is>
      </c>
      <c r="F153" s="22" t="inlineStr">
        <is>
          <t>L'hectolitre est traité comme 1 000 L : la valeur du préfixe hecto n'est pas disponible dans le tableau des unités.</t>
        </is>
      </c>
    </row>
    <row r="154">
      <c r="A154" s="20" t="inlineStr">
        <is>
          <t>5eme</t>
        </is>
      </c>
      <c r="B154" s="21" t="inlineStr">
        <is>
          <t>M2</t>
        </is>
      </c>
      <c r="C154" s="20" t="inlineStr">
        <is>
          <t>M.AIRE</t>
        </is>
      </c>
      <c r="D154" s="21" t="inlineStr">
        <is>
          <t>CNS</t>
        </is>
      </c>
      <c r="E154" s="20" t="inlineStr">
        <is>
          <t>Ecrit 14 cm²</t>
        </is>
      </c>
      <c r="F154" s="20" t="inlineStr">
        <is>
          <t>La formule du triangle (7 × 4 ÷ 2) est appliquée au parallélogramme : la formule base × hauteur n'est pas disponible.</t>
        </is>
      </c>
    </row>
    <row r="155">
      <c r="A155" s="22" t="inlineStr">
        <is>
          <t>5eme</t>
        </is>
      </c>
      <c r="B155" s="23" t="inlineStr">
        <is>
          <t>M2</t>
        </is>
      </c>
      <c r="C155" s="22" t="inlineStr">
        <is>
          <t>M.AIRE</t>
        </is>
      </c>
      <c r="D155" s="23" t="inlineStr">
        <is>
          <t>CPT</t>
        </is>
      </c>
      <c r="E155" s="22" t="inlineStr">
        <is>
          <t>Ecrit 22 cm</t>
        </is>
      </c>
      <c r="F155" s="22" t="inlineStr">
        <is>
          <t>Le périmètre 2 × (7 + 4) est donné à la place de l'aire : aire et périmètre sont confondus.</t>
        </is>
      </c>
    </row>
    <row r="156">
      <c r="A156" s="20" t="inlineStr">
        <is>
          <t>5eme</t>
        </is>
      </c>
      <c r="B156" s="21" t="inlineStr">
        <is>
          <t>M3</t>
        </is>
      </c>
      <c r="C156" s="20" t="inlineStr">
        <is>
          <t>G.SOL1</t>
        </is>
      </c>
      <c r="D156" s="21" t="inlineStr">
        <is>
          <t>CNS</t>
        </is>
      </c>
      <c r="E156" s="20" t="inlineStr">
        <is>
          <t>Entoure a) 25 cm²</t>
        </is>
      </c>
      <c r="F156" s="20" t="inlineStr">
        <is>
          <t>L'aire d'une seule face est donnée : la notion d'aire totale, somme des six faces, n'est pas disponible.</t>
        </is>
      </c>
    </row>
    <row r="157">
      <c r="A157" s="22" t="inlineStr">
        <is>
          <t>5eme</t>
        </is>
      </c>
      <c r="B157" s="23" t="inlineStr">
        <is>
          <t>M3</t>
        </is>
      </c>
      <c r="C157" s="22" t="inlineStr">
        <is>
          <t>G.SOL1</t>
        </is>
      </c>
      <c r="D157" s="23" t="inlineStr">
        <is>
          <t>CPT</t>
        </is>
      </c>
      <c r="E157" s="22" t="inlineStr">
        <is>
          <t>Entoure b) 125 cm²</t>
        </is>
      </c>
      <c r="F157" s="22" t="inlineStr">
        <is>
          <t>5 × 5 × 5 est calculé : l'aire totale est confondue avec le volume du cube.</t>
        </is>
      </c>
    </row>
    <row r="158">
      <c r="A158" s="20" t="inlineStr">
        <is>
          <t>5eme</t>
        </is>
      </c>
      <c r="B158" s="21" t="inlineStr">
        <is>
          <t>M3</t>
        </is>
      </c>
      <c r="C158" s="20" t="inlineStr">
        <is>
          <t>M.AIRE</t>
        </is>
      </c>
      <c r="D158" s="21" t="inlineStr">
        <is>
          <t>PRC</t>
        </is>
      </c>
      <c r="E158" s="20" t="inlineStr">
        <is>
          <t>Entoure c) 30 cm²</t>
        </is>
      </c>
      <c r="F158" s="20" t="inlineStr">
        <is>
          <t>Les six faces sont bien comptées mais l'aire d'une face est prise égale au côté 5 au lieu de 5 × 5 = 25.</t>
        </is>
      </c>
    </row>
    <row r="159">
      <c r="A159" s="22" t="inlineStr">
        <is>
          <t>5eme</t>
        </is>
      </c>
      <c r="B159" s="23" t="inlineStr">
        <is>
          <t>G1</t>
        </is>
      </c>
      <c r="C159" s="22" t="inlineStr">
        <is>
          <t>G.PARA</t>
        </is>
      </c>
      <c r="D159" s="23" t="inlineStr">
        <is>
          <t>CPT</t>
        </is>
      </c>
      <c r="E159" s="22" t="inlineStr">
        <is>
          <t>Ecrit « perpendiculaires »</t>
        </is>
      </c>
      <c r="F159" s="22" t="inlineStr">
        <is>
          <t>La perpendicularité à (Δ) est transférée à (d) et (d') : la relation est crue transitive, confusion stable.</t>
        </is>
      </c>
    </row>
    <row r="160">
      <c r="A160" s="20" t="inlineStr">
        <is>
          <t>5eme</t>
        </is>
      </c>
      <c r="B160" s="21" t="inlineStr">
        <is>
          <t>G1</t>
        </is>
      </c>
      <c r="C160" s="20" t="inlineStr">
        <is>
          <t>G.PARA</t>
        </is>
      </c>
      <c r="D160" s="21" t="inlineStr">
        <is>
          <t>CNS</t>
        </is>
      </c>
      <c r="E160" s="20" t="inlineStr">
        <is>
          <t>Ecrit « sécantes »</t>
        </is>
      </c>
      <c r="F160" s="20" t="inlineStr">
        <is>
          <t>La propriété des deux perpendiculaires à une même droite n'est pas mobilisée : l'élève répond au hasard d'une figure imaginée.</t>
        </is>
      </c>
    </row>
    <row r="161">
      <c r="A161" s="22" t="inlineStr">
        <is>
          <t>5eme</t>
        </is>
      </c>
      <c r="B161" s="23" t="inlineStr">
        <is>
          <t>G2</t>
        </is>
      </c>
      <c r="C161" s="22" t="inlineStr">
        <is>
          <t>G.TRI</t>
        </is>
      </c>
      <c r="D161" s="23" t="inlineStr">
        <is>
          <t>CNS</t>
        </is>
      </c>
      <c r="E161" s="22" t="inlineStr">
        <is>
          <t>Ecrit OUI</t>
        </is>
      </c>
      <c r="F161" s="22" t="inlineStr">
        <is>
          <t>L'inégalité triangulaire n'est pas disponible : trois longueurs quelconques sont crues suffisantes pour construire un triangle.</t>
        </is>
      </c>
    </row>
    <row r="162">
      <c r="A162" s="20" t="inlineStr">
        <is>
          <t>5eme</t>
        </is>
      </c>
      <c r="B162" s="21" t="inlineStr">
        <is>
          <t>G2</t>
        </is>
      </c>
      <c r="C162" s="20" t="inlineStr">
        <is>
          <t>G.TRI</t>
        </is>
      </c>
      <c r="D162" s="21" t="inlineStr">
        <is>
          <t>CPT</t>
        </is>
      </c>
      <c r="E162" s="20" t="inlineStr">
        <is>
          <t>Ecrit OUI après avoir noté 3 &lt; 4 + 9 au brouillon</t>
        </is>
      </c>
      <c r="F162" s="20" t="inlineStr">
        <is>
          <t>La comparaison porte sur le plus petit côté au lieu du plus grand : la règle est connue mais appliquée au mauvais côté.</t>
        </is>
      </c>
    </row>
    <row r="163">
      <c r="A163" s="22" t="inlineStr">
        <is>
          <t>5eme</t>
        </is>
      </c>
      <c r="B163" s="23" t="inlineStr">
        <is>
          <t>G3</t>
        </is>
      </c>
      <c r="C163" s="22" t="inlineStr">
        <is>
          <t>G.ANG2</t>
        </is>
      </c>
      <c r="D163" s="23" t="inlineStr">
        <is>
          <t>CPT</t>
        </is>
      </c>
      <c r="E163" s="22" t="inlineStr">
        <is>
          <t>Ecrit 28°</t>
        </is>
      </c>
      <c r="F163" s="22" t="inlineStr">
        <is>
          <t>118 - 90 est calculé : supplémentaires et complémentaires sont confondus (90° au lieu de 180°).</t>
        </is>
      </c>
    </row>
    <row r="164">
      <c r="A164" s="20" t="inlineStr">
        <is>
          <t>5eme</t>
        </is>
      </c>
      <c r="B164" s="21" t="inlineStr">
        <is>
          <t>G3</t>
        </is>
      </c>
      <c r="C164" s="20" t="inlineStr">
        <is>
          <t>G.ANG2</t>
        </is>
      </c>
      <c r="D164" s="21" t="inlineStr">
        <is>
          <t>PRC</t>
        </is>
      </c>
      <c r="E164" s="20" t="inlineStr">
        <is>
          <t>Ecrit 72°</t>
        </is>
      </c>
      <c r="F164" s="20" t="inlineStr">
        <is>
          <t>180 - 118 est bien posé mais la retenue des dizaines est oubliée dans la soustraction.</t>
        </is>
      </c>
    </row>
    <row r="165">
      <c r="A165" s="22" t="inlineStr">
        <is>
          <t>5eme</t>
        </is>
      </c>
      <c r="B165" s="23" t="inlineStr">
        <is>
          <t>G3</t>
        </is>
      </c>
      <c r="C165" s="22" t="inlineStr">
        <is>
          <t>G.ANG2</t>
        </is>
      </c>
      <c r="D165" s="23" t="inlineStr">
        <is>
          <t>CNS</t>
        </is>
      </c>
      <c r="E165" s="22" t="inlineStr">
        <is>
          <t>Ecrit 298°</t>
        </is>
      </c>
      <c r="F165" s="22" t="inlineStr">
        <is>
          <t>Les deux angles sont additionnés (180 + 118) : la somme 180° de deux angles supplémentaires n'est pas mobilisée.</t>
        </is>
      </c>
    </row>
    <row r="166">
      <c r="A166" s="20" t="inlineStr">
        <is>
          <t>5eme</t>
        </is>
      </c>
      <c r="B166" s="21" t="inlineStr">
        <is>
          <t>G4</t>
        </is>
      </c>
      <c r="C166" s="20" t="inlineStr">
        <is>
          <t>G.MED</t>
        </is>
      </c>
      <c r="D166" s="21" t="inlineStr">
        <is>
          <t>CPT</t>
        </is>
      </c>
      <c r="E166" s="20" t="inlineStr">
        <is>
          <t>Entoure a) P est le milieu de [EF]</t>
        </is>
      </c>
      <c r="F166" s="20" t="inlineStr">
        <is>
          <t>La médiatrice est réduite au milieu du segment : droite et point sont confondus.</t>
        </is>
      </c>
    </row>
    <row r="167">
      <c r="A167" s="22" t="inlineStr">
        <is>
          <t>5eme</t>
        </is>
      </c>
      <c r="B167" s="23" t="inlineStr">
        <is>
          <t>G4</t>
        </is>
      </c>
      <c r="C167" s="22" t="inlineStr">
        <is>
          <t>G.MED</t>
        </is>
      </c>
      <c r="D167" s="23" t="inlineStr">
        <is>
          <t>CNS</t>
        </is>
      </c>
      <c r="E167" s="22" t="inlineStr">
        <is>
          <t>Entoure b) PE = EF</t>
        </is>
      </c>
      <c r="F167" s="22" t="inlineStr">
        <is>
          <t>L'élève retient vaguement une égalité de longueurs mais pas laquelle : la propriété d'équidistance n'est pas disponible.</t>
        </is>
      </c>
    </row>
    <row r="168">
      <c r="A168" s="20" t="inlineStr">
        <is>
          <t>5eme</t>
        </is>
      </c>
      <c r="B168" s="21" t="inlineStr">
        <is>
          <t>G4</t>
        </is>
      </c>
      <c r="C168" s="20" t="inlineStr">
        <is>
          <t>G.MED</t>
        </is>
      </c>
      <c r="D168" s="21" t="inlineStr">
        <is>
          <t>CPT</t>
        </is>
      </c>
      <c r="E168" s="20" t="inlineStr">
        <is>
          <t>Entoure d) (PE) ⊥ (PF)</t>
        </is>
      </c>
      <c r="F168" s="20" t="inlineStr">
        <is>
          <t>La perpendicularité de la médiatrice à [EF] est transférée aux droites (PE) et (PF) passant par P.</t>
        </is>
      </c>
    </row>
    <row r="169">
      <c r="A169" s="22" t="inlineStr">
        <is>
          <t>5eme</t>
        </is>
      </c>
      <c r="B169" s="23" t="inlineStr">
        <is>
          <t>G5</t>
        </is>
      </c>
      <c r="C169" s="22" t="inlineStr">
        <is>
          <t>G.PARAL</t>
        </is>
      </c>
      <c r="D169" s="23" t="inlineStr">
        <is>
          <t>CPT</t>
        </is>
      </c>
      <c r="E169" s="22" t="inlineStr">
        <is>
          <t>Entoure a) AB = BC</t>
        </is>
      </c>
      <c r="F169" s="22" t="inlineStr">
        <is>
          <t>Une propriété du losange (côtés consécutifs égaux) est attribuée à tout parallélogramme.</t>
        </is>
      </c>
    </row>
    <row r="170">
      <c r="A170" s="20" t="inlineStr">
        <is>
          <t>5eme</t>
        </is>
      </c>
      <c r="B170" s="21" t="inlineStr">
        <is>
          <t>G5</t>
        </is>
      </c>
      <c r="C170" s="20" t="inlineStr">
        <is>
          <t>G.PARAL</t>
        </is>
      </c>
      <c r="D170" s="21" t="inlineStr">
        <is>
          <t>CPT</t>
        </is>
      </c>
      <c r="E170" s="20" t="inlineStr">
        <is>
          <t>Entoure b) AC = BD</t>
        </is>
      </c>
      <c r="F170" s="20" t="inlineStr">
        <is>
          <t>Une propriété du rectangle (diagonales de même longueur) est attribuée à tout parallélogramme.</t>
        </is>
      </c>
    </row>
    <row r="171">
      <c r="A171" s="22" t="inlineStr">
        <is>
          <t>5eme</t>
        </is>
      </c>
      <c r="B171" s="23" t="inlineStr">
        <is>
          <t>G5</t>
        </is>
      </c>
      <c r="C171" s="22" t="inlineStr">
        <is>
          <t>G.PARAL</t>
        </is>
      </c>
      <c r="D171" s="23" t="inlineStr">
        <is>
          <t>CPT</t>
        </is>
      </c>
      <c r="E171" s="22" t="inlineStr">
        <is>
          <t>Entoure c) (AB) ⊥ (BC)</t>
        </is>
      </c>
      <c r="F171" s="22" t="inlineStr">
        <is>
          <t>Le parallélogramme est imaginé rectangle : l'angle droit, propriété du rectangle, lui est attribué.</t>
        </is>
      </c>
    </row>
    <row r="172">
      <c r="A172" s="20" t="inlineStr">
        <is>
          <t>5eme</t>
        </is>
      </c>
      <c r="B172" s="21" t="inlineStr">
        <is>
          <t>D1</t>
        </is>
      </c>
      <c r="C172" s="20" t="inlineStr">
        <is>
          <t>D.POUR</t>
        </is>
      </c>
      <c r="D172" s="21" t="inlineStr">
        <is>
          <t>PRC</t>
        </is>
      </c>
      <c r="E172" s="20" t="inlineStr">
        <is>
          <t>Entoure b) 90 000 FCFA</t>
        </is>
      </c>
      <c r="F172" s="20" t="inlineStr">
        <is>
          <t>20 % de 450 000 = 90 000 est juste mais la dernière étape (450 000 - 90 000) est omise : la remise est prise pour le prix payé.</t>
        </is>
      </c>
    </row>
    <row r="173">
      <c r="A173" s="22" t="inlineStr">
        <is>
          <t>5eme</t>
        </is>
      </c>
      <c r="B173" s="23" t="inlineStr">
        <is>
          <t>D1</t>
        </is>
      </c>
      <c r="C173" s="22" t="inlineStr">
        <is>
          <t>D.POUR</t>
        </is>
      </c>
      <c r="D173" s="23" t="inlineStr">
        <is>
          <t>CPT</t>
        </is>
      </c>
      <c r="E173" s="22" t="inlineStr">
        <is>
          <t>Entoure c) 430 000 FCFA</t>
        </is>
      </c>
      <c r="F173" s="22" t="inlineStr">
        <is>
          <t>20 % est lu comme 20 000 FCFA retranchés : le pourcentage est confondu avec une somme fixe.</t>
        </is>
      </c>
    </row>
    <row r="174">
      <c r="A174" s="20" t="inlineStr">
        <is>
          <t>5eme</t>
        </is>
      </c>
      <c r="B174" s="21" t="inlineStr">
        <is>
          <t>D1</t>
        </is>
      </c>
      <c r="C174" s="20" t="inlineStr">
        <is>
          <t>D.POUR</t>
        </is>
      </c>
      <c r="D174" s="21" t="inlineStr">
        <is>
          <t>MOD</t>
        </is>
      </c>
      <c r="E174" s="20" t="inlineStr">
        <is>
          <t>Entoure d) 540 000 FCFA</t>
        </is>
      </c>
      <c r="F174" s="20" t="inlineStr">
        <is>
          <t>La remise est ajoutée (450 000 + 90 000) : le mot « remise » n'est pas traduit par une diminution.</t>
        </is>
      </c>
    </row>
    <row r="175">
      <c r="A175" s="22" t="inlineStr">
        <is>
          <t>5eme</t>
        </is>
      </c>
      <c r="B175" s="23" t="inlineStr">
        <is>
          <t>D2</t>
        </is>
      </c>
      <c r="C175" s="22" t="inlineStr">
        <is>
          <t>G.REP</t>
        </is>
      </c>
      <c r="D175" s="23" t="inlineStr">
        <is>
          <t>CPT</t>
        </is>
      </c>
      <c r="E175" s="22" t="inlineStr">
        <is>
          <t>Ecrit (1 ; 7)</t>
        </is>
      </c>
      <c r="F175" s="22" t="inlineStr">
        <is>
          <t>3 est retiré à l'abscisse au lieu de l'ordonnée : abscisse et ordonnée sont confondues.</t>
        </is>
      </c>
    </row>
    <row r="176">
      <c r="A176" s="20" t="inlineStr">
        <is>
          <t>5eme</t>
        </is>
      </c>
      <c r="B176" s="21" t="inlineStr">
        <is>
          <t>D2</t>
        </is>
      </c>
      <c r="C176" s="20" t="inlineStr">
        <is>
          <t>G.REP</t>
        </is>
      </c>
      <c r="D176" s="21" t="inlineStr">
        <is>
          <t>CPT</t>
        </is>
      </c>
      <c r="E176" s="20" t="inlineStr">
        <is>
          <t>Ecrit (4 ; 3)</t>
        </is>
      </c>
      <c r="F176" s="20" t="inlineStr">
        <is>
          <t>« Inférieure de 3 » est lu comme « égale à 3 » : l'écart et la valeur de l'ordonnée sont confondus.</t>
        </is>
      </c>
    </row>
    <row r="177">
      <c r="A177" s="22" t="inlineStr">
        <is>
          <t>5eme</t>
        </is>
      </c>
      <c r="B177" s="23" t="inlineStr">
        <is>
          <t>D2</t>
        </is>
      </c>
      <c r="C177" s="22" t="inlineStr">
        <is>
          <t>G.REP</t>
        </is>
      </c>
      <c r="D177" s="23" t="inlineStr">
        <is>
          <t>ATT</t>
        </is>
      </c>
      <c r="E177" s="22" t="inlineStr">
        <is>
          <t>Ecrit (4 ; 10)</t>
        </is>
      </c>
      <c r="F177" s="22" t="inlineStr">
        <is>
          <t>L'ordonnée est augmentée de 3 au lieu d'être diminuée : le mot « inférieure » est mal lu, le repérage est par ailleurs juste.</t>
        </is>
      </c>
    </row>
    <row r="178">
      <c r="A178" s="20" t="inlineStr">
        <is>
          <t>5eme</t>
        </is>
      </c>
      <c r="B178" s="21" t="inlineStr">
        <is>
          <t>N7</t>
        </is>
      </c>
      <c r="C178" s="20" t="inlineStr">
        <is>
          <t>N.PRIO</t>
        </is>
      </c>
      <c r="D178" s="21" t="inlineStr">
        <is>
          <t>CPT</t>
        </is>
      </c>
      <c r="E178" s="20" t="inlineStr">
        <is>
          <t>Ecrit « 5 + 3 = 8 et 8 × 8 = 64, donc c'est juste »</t>
        </is>
      </c>
      <c r="F178" s="20" t="inlineStr">
        <is>
          <t>L'élève partage l'erreur de Rasmané : il croit que les calculs se font dans l'ordre de lecture.</t>
        </is>
      </c>
    </row>
    <row r="179">
      <c r="A179" s="22" t="inlineStr">
        <is>
          <t>5eme</t>
        </is>
      </c>
      <c r="B179" s="23" t="inlineStr">
        <is>
          <t>N7</t>
        </is>
      </c>
      <c r="C179" s="22" t="inlineStr">
        <is>
          <t>N.PRIO</t>
        </is>
      </c>
      <c r="D179" s="23" t="inlineStr">
        <is>
          <t>PRC</t>
        </is>
      </c>
      <c r="E179" s="22" t="inlineStr">
        <is>
          <t>Ecrit 5 + (3 × 8) = 64</t>
        </is>
      </c>
      <c r="F179" s="22" t="inlineStr">
        <is>
          <t>Il sait qu'une parenthèse change l'ordre des calculs mais la place sur la multiplication, ce qui ne change rien (résultat 29).</t>
        </is>
      </c>
    </row>
    <row r="180">
      <c r="A180" s="20" t="inlineStr">
        <is>
          <t>5eme</t>
        </is>
      </c>
      <c r="B180" s="21" t="inlineStr">
        <is>
          <t>N7</t>
        </is>
      </c>
      <c r="C180" s="20" t="inlineStr">
        <is>
          <t>N.PRIO</t>
        </is>
      </c>
      <c r="D180" s="21" t="inlineStr">
        <is>
          <t>CNS</t>
        </is>
      </c>
      <c r="E180" s="20" t="inlineStr">
        <is>
          <t>Ecrit 5 + 24 = 29 sans proposer d'expression égale à 64</t>
        </is>
      </c>
      <c r="F180" s="20" t="inlineStr">
        <is>
          <t>La priorité est connue mais le rôle des parenthèses pour imposer un ordre n'est pas mobilisé.</t>
        </is>
      </c>
    </row>
    <row r="181">
      <c r="A181" s="22" t="inlineStr">
        <is>
          <t>5eme</t>
        </is>
      </c>
      <c r="B181" s="23" t="inlineStr">
        <is>
          <t>N7</t>
        </is>
      </c>
      <c r="C181" s="22" t="inlineStr">
        <is>
          <t>N.PRIO</t>
        </is>
      </c>
      <c r="D181" s="23" t="inlineStr">
        <is>
          <t>RED</t>
        </is>
      </c>
      <c r="E181" s="22" t="inlineStr">
        <is>
          <t>Ecrit « c'est faux » puis (5 + 3) × 8 = 64, sans calcul ni règle</t>
        </is>
      </c>
      <c r="F181" s="22" t="inlineStr">
        <is>
          <t>L'expression est juste mais l'erreur de Rasmané n'est ni calculée ni expliquée par la priorité de la multiplication.</t>
        </is>
      </c>
    </row>
    <row r="182">
      <c r="A182" s="20" t="inlineStr">
        <is>
          <t>5eme</t>
        </is>
      </c>
      <c r="B182" s="21" t="inlineStr">
        <is>
          <t>N8</t>
        </is>
      </c>
      <c r="C182" s="20" t="inlineStr">
        <is>
          <t>N.FRA1</t>
        </is>
      </c>
      <c r="D182" s="21" t="inlineStr">
        <is>
          <t>MOD</t>
        </is>
      </c>
      <c r="E182" s="20" t="inlineStr">
        <is>
          <t>Ecrit 54 ÷ 2 × 5 = 135 kg</t>
        </is>
      </c>
      <c r="F182" s="20" t="inlineStr">
        <is>
          <t>Les 54 kg sont associés aux 2/5 vendus au lieu des 3/5 restants : l'énoncé n'est pas traduit correctement.</t>
        </is>
      </c>
    </row>
    <row r="183">
      <c r="A183" s="22" t="inlineStr">
        <is>
          <t>5eme</t>
        </is>
      </c>
      <c r="B183" s="23" t="inlineStr">
        <is>
          <t>N8</t>
        </is>
      </c>
      <c r="C183" s="22" t="inlineStr">
        <is>
          <t>N.FRA1</t>
        </is>
      </c>
      <c r="D183" s="23" t="inlineStr">
        <is>
          <t>CPT</t>
        </is>
      </c>
      <c r="E183" s="22" t="inlineStr">
        <is>
          <t>Ecrit 54 × 3 ÷ 5 = 32,4 kg</t>
        </is>
      </c>
      <c r="F183" s="22" t="inlineStr">
        <is>
          <t>La fraction 3/5 est appliquée aux 54 kg : le raisonnement inverse (retrouver le tout à partir d'une partie) n'est pas compris.</t>
        </is>
      </c>
    </row>
    <row r="184">
      <c r="A184" s="20" t="inlineStr">
        <is>
          <t>5eme</t>
        </is>
      </c>
      <c r="B184" s="21" t="inlineStr">
        <is>
          <t>N8</t>
        </is>
      </c>
      <c r="C184" s="20" t="inlineStr">
        <is>
          <t>N.FRA1</t>
        </is>
      </c>
      <c r="D184" s="21" t="inlineStr">
        <is>
          <t>MOD</t>
        </is>
      </c>
      <c r="E184" s="20" t="inlineStr">
        <is>
          <t>Ecrit « non, car 54 kg &lt; 90 kg »</t>
        </is>
      </c>
      <c r="F184" s="20" t="inlineStr">
        <is>
          <t>La masse restante est comparée au total au lieu de la masse vendue (36 kg) : la question n'est pas traduite.</t>
        </is>
      </c>
    </row>
    <row r="185">
      <c r="A185" s="22" t="inlineStr">
        <is>
          <t>5eme</t>
        </is>
      </c>
      <c r="B185" s="23" t="inlineStr">
        <is>
          <t>N8</t>
        </is>
      </c>
      <c r="C185" s="22" t="inlineStr">
        <is>
          <t>N.FRA1</t>
        </is>
      </c>
      <c r="D185" s="23" t="inlineStr">
        <is>
          <t>RED</t>
        </is>
      </c>
      <c r="E185" s="22" t="inlineStr">
        <is>
          <t>Ecrit 90 kg et « oui, il a raison » sans comparer 3/5 et 2/5 ni 54 kg et 36 kg</t>
        </is>
      </c>
      <c r="F185" s="22" t="inlineStr">
        <is>
          <t>Le jugement est juste mais n'est appuyé sur aucune comparaison : « oui » seul ne vaut rien.</t>
        </is>
      </c>
    </row>
    <row r="186">
      <c r="A186" s="20" t="inlineStr">
        <is>
          <t>5eme</t>
        </is>
      </c>
      <c r="B186" s="21" t="inlineStr">
        <is>
          <t>N9</t>
        </is>
      </c>
      <c r="C186" s="20" t="inlineStr">
        <is>
          <t>N.REL</t>
        </is>
      </c>
      <c r="D186" s="21" t="inlineStr">
        <is>
          <t>CPT</t>
        </is>
      </c>
      <c r="E186" s="20" t="inlineStr">
        <is>
          <t>Ecrit seulement +3</t>
        </is>
      </c>
      <c r="F186" s="20" t="inlineStr">
        <is>
          <t>La distance est lue dans un seul sens, vers la droite : l'élève croit qu'une distance donne une seule position.</t>
        </is>
      </c>
    </row>
    <row r="187">
      <c r="A187" s="22" t="inlineStr">
        <is>
          <t>5eme</t>
        </is>
      </c>
      <c r="B187" s="23" t="inlineStr">
        <is>
          <t>N9</t>
        </is>
      </c>
      <c r="C187" s="22" t="inlineStr">
        <is>
          <t>N.REL</t>
        </is>
      </c>
      <c r="D187" s="23" t="inlineStr">
        <is>
          <t>PRC</t>
        </is>
      </c>
      <c r="E187" s="22" t="inlineStr">
        <is>
          <t>Ecrit +3 et -3</t>
        </is>
      </c>
      <c r="F187" s="22" t="inlineStr">
        <is>
          <t>Les deux sens sont envisagés mais -4 - 7 est calculé comme -(7 - 4) = -3 au lieu de -11 : erreur d'exécution sur les relatifs.</t>
        </is>
      </c>
    </row>
    <row r="188">
      <c r="A188" s="20" t="inlineStr">
        <is>
          <t>5eme</t>
        </is>
      </c>
      <c r="B188" s="21" t="inlineStr">
        <is>
          <t>N9</t>
        </is>
      </c>
      <c r="C188" s="20" t="inlineStr">
        <is>
          <t>N.REL</t>
        </is>
      </c>
      <c r="D188" s="21" t="inlineStr">
        <is>
          <t>MOD</t>
        </is>
      </c>
      <c r="E188" s="20" t="inlineStr">
        <is>
          <t>Ecrit +7 et -7</t>
        </is>
      </c>
      <c r="F188" s="20" t="inlineStr">
        <is>
          <t>Les 7 cm sont comptés à partir de l'origine O et non du point A : l'énoncé n'est pas traduit.</t>
        </is>
      </c>
    </row>
    <row r="189">
      <c r="A189" s="22" t="inlineStr">
        <is>
          <t>5eme</t>
        </is>
      </c>
      <c r="B189" s="23" t="inlineStr">
        <is>
          <t>N9</t>
        </is>
      </c>
      <c r="C189" s="22" t="inlineStr">
        <is>
          <t>N.REL</t>
        </is>
      </c>
      <c r="D189" s="23" t="inlineStr">
        <is>
          <t>RED</t>
        </is>
      </c>
      <c r="E189" s="22" t="inlineStr">
        <is>
          <t>Ecrit +3 et -11 sans expliquer pourquoi il y a deux réponses</t>
        </is>
      </c>
      <c r="F189" s="22" t="inlineStr">
        <is>
          <t>Les abscisses sont justes mais l'existence de deux positions de part et d'autre de A n'est pas justifiée.</t>
        </is>
      </c>
    </row>
    <row r="190">
      <c r="A190" s="20" t="inlineStr">
        <is>
          <t>5eme</t>
        </is>
      </c>
      <c r="B190" s="21" t="inlineStr">
        <is>
          <t>N10</t>
        </is>
      </c>
      <c r="C190" s="20" t="inlineStr">
        <is>
          <t>N.EGT</t>
        </is>
      </c>
      <c r="D190" s="21" t="inlineStr">
        <is>
          <t>CPT</t>
        </is>
      </c>
      <c r="E190" s="20" t="inlineStr">
        <is>
          <t>Ecrit 92 - 14 = 78 puis 78 × 6 = 468</t>
        </is>
      </c>
      <c r="F190" s="20" t="inlineStr">
        <is>
          <t>La soustraction défait bien l'addition, mais la multiplication n'est pas défaite par une division : l'opération inverse n'est pas comprise.</t>
        </is>
      </c>
    </row>
    <row r="191">
      <c r="A191" s="22" t="inlineStr">
        <is>
          <t>5eme</t>
        </is>
      </c>
      <c r="B191" s="23" t="inlineStr">
        <is>
          <t>N10</t>
        </is>
      </c>
      <c r="C191" s="22" t="inlineStr">
        <is>
          <t>N.EGT</t>
        </is>
      </c>
      <c r="D191" s="23" t="inlineStr">
        <is>
          <t>MOD</t>
        </is>
      </c>
      <c r="E191" s="22" t="inlineStr">
        <is>
          <t>Ecrit 6 × 92 + 14 = 566</t>
        </is>
      </c>
      <c r="F191" s="22" t="inlineStr">
        <is>
          <t>Le programme est appliqué à 92 au lieu d'être remonté : l'énoncé n'est pas traduit en raisonnement inverse.</t>
        </is>
      </c>
    </row>
    <row r="192">
      <c r="A192" s="20" t="inlineStr">
        <is>
          <t>5eme</t>
        </is>
      </c>
      <c r="B192" s="21" t="inlineStr">
        <is>
          <t>N10</t>
        </is>
      </c>
      <c r="C192" s="20" t="inlineStr">
        <is>
          <t>N.EGT</t>
        </is>
      </c>
      <c r="D192" s="21" t="inlineStr">
        <is>
          <t>PRC</t>
        </is>
      </c>
      <c r="E192" s="20" t="inlineStr">
        <is>
          <t>Ecrit 92 - 14 = 78 puis 78 ÷ 6 = 12</t>
        </is>
      </c>
      <c r="F192" s="20" t="inlineStr">
        <is>
          <t>La démarche est juste mais la division est mal exécutée ; la vérification 12 × 6 + 14 = 86 aurait révélé l'erreur.</t>
        </is>
      </c>
    </row>
    <row r="193">
      <c r="A193" s="22" t="inlineStr">
        <is>
          <t>5eme</t>
        </is>
      </c>
      <c r="B193" s="23" t="inlineStr">
        <is>
          <t>N10</t>
        </is>
      </c>
      <c r="C193" s="22" t="inlineStr">
        <is>
          <t>N.EGT</t>
        </is>
      </c>
      <c r="D193" s="23" t="inlineStr">
        <is>
          <t>RED</t>
        </is>
      </c>
      <c r="E193" s="22" t="inlineStr">
        <is>
          <t>Ecrit 13 sans aucun calcul ni vérification</t>
        </is>
      </c>
      <c r="F193" s="22" t="inlineStr">
        <is>
          <t>Le nombre est juste mais ni la démarche ni la vérification demandée ne sont écrites.</t>
        </is>
      </c>
    </row>
    <row r="194">
      <c r="A194" s="20" t="inlineStr">
        <is>
          <t>5eme</t>
        </is>
      </c>
      <c r="B194" s="21" t="inlineStr">
        <is>
          <t>M4</t>
        </is>
      </c>
      <c r="C194" s="20" t="inlineStr">
        <is>
          <t>M.PER</t>
        </is>
      </c>
      <c r="D194" s="21" t="inlineStr">
        <is>
          <t>CNS</t>
        </is>
      </c>
      <c r="E194" s="20" t="inlineStr">
        <is>
          <t>Ecrit 360 - 110 = 250 m</t>
        </is>
      </c>
      <c r="F194" s="20" t="inlineStr">
        <is>
          <t>Le périmètre est traité comme longueur + largeur : la formule du périmètre du rectangle n'est pas disponible.</t>
        </is>
      </c>
    </row>
    <row r="195">
      <c r="A195" s="22" t="inlineStr">
        <is>
          <t>5eme</t>
        </is>
      </c>
      <c r="B195" s="23" t="inlineStr">
        <is>
          <t>M4</t>
        </is>
      </c>
      <c r="C195" s="22" t="inlineStr">
        <is>
          <t>M.PER</t>
        </is>
      </c>
      <c r="D195" s="23" t="inlineStr">
        <is>
          <t>PRC</t>
        </is>
      </c>
      <c r="E195" s="22" t="inlineStr">
        <is>
          <t>Ecrit 360 - 2 × 110 = 140 m</t>
        </is>
      </c>
      <c r="F195" s="22" t="inlineStr">
        <is>
          <t>La démarche est juste mais la division finale par 2 est omise : 140 m est la somme des deux largeurs.</t>
        </is>
      </c>
    </row>
    <row r="196">
      <c r="A196" s="20" t="inlineStr">
        <is>
          <t>5eme</t>
        </is>
      </c>
      <c r="B196" s="21" t="inlineStr">
        <is>
          <t>M4</t>
        </is>
      </c>
      <c r="C196" s="20" t="inlineStr">
        <is>
          <t>M.PER</t>
        </is>
      </c>
      <c r="D196" s="21" t="inlineStr">
        <is>
          <t>MOD</t>
        </is>
      </c>
      <c r="E196" s="20" t="inlineStr">
        <is>
          <t>Ecrit 360 ÷ 4 = 90 m</t>
        </is>
      </c>
      <c r="F196" s="20" t="inlineStr">
        <is>
          <t>Le champ est traité comme un carré : la longueur de 110 m donnée par l'énoncé n'est pas utilisée.</t>
        </is>
      </c>
    </row>
    <row r="197">
      <c r="A197" s="22" t="inlineStr">
        <is>
          <t>5eme</t>
        </is>
      </c>
      <c r="B197" s="23" t="inlineStr">
        <is>
          <t>M4</t>
        </is>
      </c>
      <c r="C197" s="22" t="inlineStr">
        <is>
          <t>M.CONV</t>
        </is>
      </c>
      <c r="D197" s="23" t="inlineStr">
        <is>
          <t>CPT</t>
        </is>
      </c>
      <c r="E197" s="22" t="inlineStr">
        <is>
          <t>Ecrit 70 m = 700 dam</t>
        </is>
      </c>
      <c r="F197" s="22" t="inlineStr">
        <is>
          <t>La conversion vers une unité plus grande est faite par multiplication : le sens de la conversion n'est pas compris.</t>
        </is>
      </c>
    </row>
    <row r="198">
      <c r="A198" s="20" t="inlineStr">
        <is>
          <t>5eme</t>
        </is>
      </c>
      <c r="B198" s="21" t="inlineStr">
        <is>
          <t>M5</t>
        </is>
      </c>
      <c r="C198" s="20" t="inlineStr">
        <is>
          <t>M.AIRE</t>
        </is>
      </c>
      <c r="D198" s="21" t="inlineStr">
        <is>
          <t>CPT</t>
        </is>
      </c>
      <c r="E198" s="20" t="inlineStr">
        <is>
          <t>Ecrit tapis 4 × 2 = 8 m², puis 54 - 8 = 46 m²</t>
        </is>
      </c>
      <c r="F198" s="20" t="inlineStr">
        <is>
          <t>L'aire du carré est calculée en doublant le côté : côté × côté est confondu avec côté × 2.</t>
        </is>
      </c>
    </row>
    <row r="199">
      <c r="A199" s="22" t="inlineStr">
        <is>
          <t>5eme</t>
        </is>
      </c>
      <c r="B199" s="23" t="inlineStr">
        <is>
          <t>M5</t>
        </is>
      </c>
      <c r="C199" s="22" t="inlineStr">
        <is>
          <t>M.AIRE</t>
        </is>
      </c>
      <c r="D199" s="23" t="inlineStr">
        <is>
          <t>MOD</t>
        </is>
      </c>
      <c r="E199" s="22" t="inlineStr">
        <is>
          <t>Ecrit 54 + 16 = 70 m²</t>
        </is>
      </c>
      <c r="F199" s="22" t="inlineStr">
        <is>
          <t>Les aires sont additionnées : « la partie restée découverte » n'est pas traduite par une soustraction.</t>
        </is>
      </c>
    </row>
    <row r="200">
      <c r="A200" s="20" t="inlineStr">
        <is>
          <t>5eme</t>
        </is>
      </c>
      <c r="B200" s="21" t="inlineStr">
        <is>
          <t>M5</t>
        </is>
      </c>
      <c r="C200" s="20" t="inlineStr">
        <is>
          <t>M.AIRE</t>
        </is>
      </c>
      <c r="D200" s="21" t="inlineStr">
        <is>
          <t>PRC</t>
        </is>
      </c>
      <c r="E200" s="20" t="inlineStr">
        <is>
          <t>Ecrit 54 - 16 = 48 m²</t>
        </is>
      </c>
      <c r="F200" s="20" t="inlineStr">
        <is>
          <t>La démarche est juste mais la retenue est oubliée dans la soustraction (4 - 6).</t>
        </is>
      </c>
    </row>
    <row r="201">
      <c r="A201" s="22" t="inlineStr">
        <is>
          <t>5eme</t>
        </is>
      </c>
      <c r="B201" s="23" t="inlineStr">
        <is>
          <t>M5</t>
        </is>
      </c>
      <c r="C201" s="22" t="inlineStr">
        <is>
          <t>M.AIRE</t>
        </is>
      </c>
      <c r="D201" s="23" t="inlineStr">
        <is>
          <t>RED</t>
        </is>
      </c>
      <c r="E201" s="22" t="inlineStr">
        <is>
          <t>Ecrit « oui » après 38 m² sans calculer ni citer la moitié 27 m²</t>
        </is>
      </c>
      <c r="F201" s="22" t="inlineStr">
        <is>
          <t>Le jugement est juste mais n'est appuyé sur aucune comparaison écrite.</t>
        </is>
      </c>
    </row>
    <row r="202">
      <c r="A202" s="20" t="inlineStr">
        <is>
          <t>5eme</t>
        </is>
      </c>
      <c r="B202" s="21" t="inlineStr">
        <is>
          <t>G6</t>
        </is>
      </c>
      <c r="C202" s="20" t="inlineStr">
        <is>
          <t>G.ANG2</t>
        </is>
      </c>
      <c r="D202" s="21" t="inlineStr">
        <is>
          <t>CPT</t>
        </is>
      </c>
      <c r="E202" s="20" t="inlineStr">
        <is>
          <t>Ecrit BOC = 30° et AOB = 60°</t>
        </is>
      </c>
      <c r="F202" s="20" t="inlineStr">
        <is>
          <t>90° est partagé en trois : supplémentaires et complémentaires sont confondus.</t>
        </is>
      </c>
    </row>
    <row r="203">
      <c r="A203" s="22" t="inlineStr">
        <is>
          <t>5eme</t>
        </is>
      </c>
      <c r="B203" s="23" t="inlineStr">
        <is>
          <t>G6</t>
        </is>
      </c>
      <c r="C203" s="22" t="inlineStr">
        <is>
          <t>G.ANG2</t>
        </is>
      </c>
      <c r="D203" s="23" t="inlineStr">
        <is>
          <t>MOD</t>
        </is>
      </c>
      <c r="E203" s="22" t="inlineStr">
        <is>
          <t>Ecrit 180 ÷ 2 = 90°, donc AOB = 90° et BOC = 90°</t>
        </is>
      </c>
      <c r="F203" s="22" t="inlineStr">
        <is>
          <t>« Le double » est traduit par un partage en deux parts égales au lieu de trois : la relation n'est pas modélisée.</t>
        </is>
      </c>
    </row>
    <row r="204">
      <c r="A204" s="20" t="inlineStr">
        <is>
          <t>5eme</t>
        </is>
      </c>
      <c r="B204" s="21" t="inlineStr">
        <is>
          <t>G6</t>
        </is>
      </c>
      <c r="C204" s="20" t="inlineStr">
        <is>
          <t>G.ANG2</t>
        </is>
      </c>
      <c r="D204" s="21" t="inlineStr">
        <is>
          <t>ATT</t>
        </is>
      </c>
      <c r="E204" s="20" t="inlineStr">
        <is>
          <t>Ecrit BOC = 120° et AOB = 60°</t>
        </is>
      </c>
      <c r="F204" s="20" t="inlineStr">
        <is>
          <t>Le partage en trois est juste mais le double est attribué au mauvais angle : lettres interverties en recopiant.</t>
        </is>
      </c>
    </row>
    <row r="205">
      <c r="A205" s="22" t="inlineStr">
        <is>
          <t>5eme</t>
        </is>
      </c>
      <c r="B205" s="23" t="inlineStr">
        <is>
          <t>G6</t>
        </is>
      </c>
      <c r="C205" s="22" t="inlineStr">
        <is>
          <t>G.ANG1</t>
        </is>
      </c>
      <c r="D205" s="23" t="inlineStr">
        <is>
          <t>CNS</t>
        </is>
      </c>
      <c r="E205" s="22" t="inlineStr">
        <is>
          <t>Ecrit « 120° est un angle aigu »</t>
        </is>
      </c>
      <c r="F205" s="22" t="inlineStr">
        <is>
          <t>Les mesures sont justes mais la classification par rapport à 90° (aigu, obtus) n'est pas disponible.</t>
        </is>
      </c>
    </row>
    <row r="206">
      <c r="A206" s="20" t="inlineStr">
        <is>
          <t>5eme</t>
        </is>
      </c>
      <c r="B206" s="21" t="inlineStr">
        <is>
          <t>G6</t>
        </is>
      </c>
      <c r="C206" s="20" t="inlineStr">
        <is>
          <t>G.ANG2</t>
        </is>
      </c>
      <c r="D206" s="21" t="inlineStr">
        <is>
          <t>RED</t>
        </is>
      </c>
      <c r="E206" s="20" t="inlineStr">
        <is>
          <t>Ecrit 60° et 120° sans poser AOB + BOC = 180°</t>
        </is>
      </c>
      <c r="F206" s="20" t="inlineStr">
        <is>
          <t>Les mesures sont justes mais la démarche (somme 180°, trois parts) n'est pas écrite.</t>
        </is>
      </c>
    </row>
    <row r="207">
      <c r="A207" s="22" t="inlineStr">
        <is>
          <t>5eme</t>
        </is>
      </c>
      <c r="B207" s="23" t="inlineStr">
        <is>
          <t>G7</t>
        </is>
      </c>
      <c r="C207" s="22" t="inlineStr">
        <is>
          <t>M.PER</t>
        </is>
      </c>
      <c r="D207" s="23" t="inlineStr">
        <is>
          <t>PRC</t>
        </is>
      </c>
      <c r="E207" s="22" t="inlineStr">
        <is>
          <t>Ecrit EF = 22 - 8 = 14 cm</t>
        </is>
      </c>
      <c r="F207" s="22" t="inlineStr">
        <is>
          <t>La démarche est juste mais la division par 2 est omise : 14 cm est la somme EF + EG.</t>
        </is>
      </c>
    </row>
    <row r="208">
      <c r="A208" s="20" t="inlineStr">
        <is>
          <t>5eme</t>
        </is>
      </c>
      <c r="B208" s="21" t="inlineStr">
        <is>
          <t>G7</t>
        </is>
      </c>
      <c r="C208" s="20" t="inlineStr">
        <is>
          <t>G.TRI</t>
        </is>
      </c>
      <c r="D208" s="21" t="inlineStr">
        <is>
          <t>CPT</t>
        </is>
      </c>
      <c r="E208" s="20" t="inlineStr">
        <is>
          <t>Ecrit EF = 8 cm</t>
        </is>
      </c>
      <c r="F208" s="20" t="inlineStr">
        <is>
          <t>« Isocèle en E » est mal compris : l'élève croit que la base [FG] fait partie des côtés égaux.</t>
        </is>
      </c>
    </row>
    <row r="209">
      <c r="A209" s="22" t="inlineStr">
        <is>
          <t>5eme</t>
        </is>
      </c>
      <c r="B209" s="23" t="inlineStr">
        <is>
          <t>G7</t>
        </is>
      </c>
      <c r="C209" s="22" t="inlineStr">
        <is>
          <t>G.TRI</t>
        </is>
      </c>
      <c r="D209" s="23" t="inlineStr">
        <is>
          <t>CNS</t>
        </is>
      </c>
      <c r="E209" s="22" t="inlineStr">
        <is>
          <t>Le programme place E sans arc de cercle (« placer E au-dessus de [FG] »)</t>
        </is>
      </c>
      <c r="F209" s="22" t="inlineStr">
        <is>
          <t>La construction d'un triangle connaissant ses trois côtés, au compas, n'est pas disponible.</t>
        </is>
      </c>
    </row>
    <row r="210">
      <c r="A210" s="20" t="inlineStr">
        <is>
          <t>5eme</t>
        </is>
      </c>
      <c r="B210" s="21" t="inlineStr">
        <is>
          <t>G7</t>
        </is>
      </c>
      <c r="C210" s="20" t="inlineStr">
        <is>
          <t>G.TRI</t>
        </is>
      </c>
      <c r="D210" s="21" t="inlineStr">
        <is>
          <t>RED</t>
        </is>
      </c>
      <c r="E210" s="20" t="inlineStr">
        <is>
          <t>Le programme cite « tracer deux arcs » sans centres ni rayons, ou dans le désordre</t>
        </is>
      </c>
      <c r="F210" s="20" t="inlineStr">
        <is>
          <t>La méthode est connue mais la rédaction ne permet pas d'exécuter la construction.</t>
        </is>
      </c>
    </row>
    <row r="211">
      <c r="A211" s="22" t="inlineStr">
        <is>
          <t>5eme</t>
        </is>
      </c>
      <c r="B211" s="23" t="inlineStr">
        <is>
          <t>G8</t>
        </is>
      </c>
      <c r="C211" s="22" t="inlineStr">
        <is>
          <t>G.PARAL</t>
        </is>
      </c>
      <c r="D211" s="23" t="inlineStr">
        <is>
          <t>CNS</t>
        </is>
      </c>
      <c r="E211" s="22" t="inlineStr">
        <is>
          <t>Ecrit NP = 26 - 8 = 18 cm</t>
        </is>
      </c>
      <c r="F211" s="22" t="inlineStr">
        <is>
          <t>L'égalité des côtés opposés n'est pas mobilisée : le périmètre est traité comme la somme de deux côtés.</t>
        </is>
      </c>
    </row>
    <row r="212">
      <c r="A212" s="20" t="inlineStr">
        <is>
          <t>5eme</t>
        </is>
      </c>
      <c r="B212" s="21" t="inlineStr">
        <is>
          <t>G8</t>
        </is>
      </c>
      <c r="C212" s="20" t="inlineStr">
        <is>
          <t>M.PER</t>
        </is>
      </c>
      <c r="D212" s="21" t="inlineStr">
        <is>
          <t>PRC</t>
        </is>
      </c>
      <c r="E212" s="20" t="inlineStr">
        <is>
          <t>Ecrit NP = 26 - 2 × 8 = 10 cm</t>
        </is>
      </c>
      <c r="F212" s="20" t="inlineStr">
        <is>
          <t>La démarche est juste mais la division par 2 est omise : 10 cm est la somme NP + QM.</t>
        </is>
      </c>
    </row>
    <row r="213">
      <c r="A213" s="22" t="inlineStr">
        <is>
          <t>5eme</t>
        </is>
      </c>
      <c r="B213" s="23" t="inlineStr">
        <is>
          <t>G8</t>
        </is>
      </c>
      <c r="C213" s="22" t="inlineStr">
        <is>
          <t>G.PARAL</t>
        </is>
      </c>
      <c r="D213" s="23" t="inlineStr">
        <is>
          <t>MOD</t>
        </is>
      </c>
      <c r="E213" s="22" t="inlineStr">
        <is>
          <t>Ecrit NP = 26 ÷ 4 = 6,5 cm</t>
        </is>
      </c>
      <c r="F213" s="22" t="inlineStr">
        <is>
          <t>L'affirmation de Kadidiatou, qui est à juger, est utilisée comme une donnée : MNPQ est traité comme un losange à quatre côtés égaux.</t>
        </is>
      </c>
    </row>
    <row r="214">
      <c r="A214" s="20" t="inlineStr">
        <is>
          <t>5eme</t>
        </is>
      </c>
      <c r="B214" s="21" t="inlineStr">
        <is>
          <t>G8</t>
        </is>
      </c>
      <c r="C214" s="20" t="inlineStr">
        <is>
          <t>G.PARAL</t>
        </is>
      </c>
      <c r="D214" s="21" t="inlineStr">
        <is>
          <t>CPT</t>
        </is>
      </c>
      <c r="E214" s="20" t="inlineStr">
        <is>
          <t>Ecrit « oui, c'est un losange car ses côtés opposés sont égaux »</t>
        </is>
      </c>
      <c r="F214" s="20" t="inlineStr">
        <is>
          <t>Le losange est caractérisé par une propriété de tout parallélogramme : les deux figures sont confondues.</t>
        </is>
      </c>
    </row>
    <row r="215">
      <c r="A215" s="22" t="inlineStr">
        <is>
          <t>5eme</t>
        </is>
      </c>
      <c r="B215" s="23" t="inlineStr">
        <is>
          <t>G8</t>
        </is>
      </c>
      <c r="C215" s="22" t="inlineStr">
        <is>
          <t>G.PARAL</t>
        </is>
      </c>
      <c r="D215" s="23" t="inlineStr">
        <is>
          <t>RED</t>
        </is>
      </c>
      <c r="E215" s="22" t="inlineStr">
        <is>
          <t>Ecrit « non, ce n'est pas un losange » sans comparer MN et NP</t>
        </is>
      </c>
      <c r="F215" s="22" t="inlineStr">
        <is>
          <t>Le refus est juste mais n'est appuyé ni sur MN ≠ NP ni sur la propriété du losange.</t>
        </is>
      </c>
    </row>
    <row r="216">
      <c r="A216" s="20" t="inlineStr">
        <is>
          <t>5eme</t>
        </is>
      </c>
      <c r="B216" s="21" t="inlineStr">
        <is>
          <t>G9</t>
        </is>
      </c>
      <c r="C216" s="20" t="inlineStr">
        <is>
          <t>G.MED</t>
        </is>
      </c>
      <c r="D216" s="21" t="inlineStr">
        <is>
          <t>CPT</t>
        </is>
      </c>
      <c r="E216" s="20" t="inlineStr">
        <is>
          <t>Ecrit MB = 6 - 5 = 1 cm</t>
        </is>
      </c>
      <c r="F216" s="20" t="inlineStr">
        <is>
          <t>M est placé sur le segment [AB] : la médiatrice est confondue avec le segment lui-même.</t>
        </is>
      </c>
    </row>
    <row r="217">
      <c r="A217" s="22" t="inlineStr">
        <is>
          <t>5eme</t>
        </is>
      </c>
      <c r="B217" s="23" t="inlineStr">
        <is>
          <t>G9</t>
        </is>
      </c>
      <c r="C217" s="22" t="inlineStr">
        <is>
          <t>G.MED</t>
        </is>
      </c>
      <c r="D217" s="23" t="inlineStr">
        <is>
          <t>CNS</t>
        </is>
      </c>
      <c r="E217" s="22" t="inlineStr">
        <is>
          <t>Ecrit MB = 6 ÷ 2 = 3 cm</t>
        </is>
      </c>
      <c r="F217" s="22" t="inlineStr">
        <is>
          <t>La propriété d'équidistance n'est pas disponible : l'élève applique la seule définition du milieu.</t>
        </is>
      </c>
    </row>
    <row r="218">
      <c r="A218" s="20" t="inlineStr">
        <is>
          <t>5eme</t>
        </is>
      </c>
      <c r="B218" s="21" t="inlineStr">
        <is>
          <t>G9</t>
        </is>
      </c>
      <c r="C218" s="20" t="inlineStr">
        <is>
          <t>G.VOC</t>
        </is>
      </c>
      <c r="D218" s="21" t="inlineStr">
        <is>
          <t>CPT</t>
        </is>
      </c>
      <c r="E218" s="20" t="inlineStr">
        <is>
          <t>Ecrit « oui, M est le milieu car il est sur la médiatrice »</t>
        </is>
      </c>
      <c r="F218" s="20" t="inlineStr">
        <is>
          <t>Tout point de la médiatrice est cru milieu du segment : milieu et médiatrice sont confondus.</t>
        </is>
      </c>
    </row>
    <row r="219">
      <c r="A219" s="22" t="inlineStr">
        <is>
          <t>5eme</t>
        </is>
      </c>
      <c r="B219" s="23" t="inlineStr">
        <is>
          <t>G9</t>
        </is>
      </c>
      <c r="C219" s="22" t="inlineStr">
        <is>
          <t>G.MED</t>
        </is>
      </c>
      <c r="D219" s="23" t="inlineStr">
        <is>
          <t>RED</t>
        </is>
      </c>
      <c r="E219" s="22" t="inlineStr">
        <is>
          <t>Ecrit MB = 5 cm sans citer la propriété de la médiatrice</t>
        </is>
      </c>
      <c r="F219" s="22" t="inlineStr">
        <is>
          <t>La longueur est juste mais n'est pas justifiée par l'équidistance (0,5 pt sur 1).</t>
        </is>
      </c>
    </row>
    <row r="220">
      <c r="A220" s="20" t="inlineStr">
        <is>
          <t>5eme</t>
        </is>
      </c>
      <c r="B220" s="21" t="inlineStr">
        <is>
          <t>D3</t>
        </is>
      </c>
      <c r="C220" s="20" t="inlineStr">
        <is>
          <t>D.PROP</t>
        </is>
      </c>
      <c r="D220" s="21" t="inlineStr">
        <is>
          <t>CPT</t>
        </is>
      </c>
      <c r="E220" s="20" t="inlineStr">
        <is>
          <t>Ecrit 15 000 - 9 000 = 6 000, donc 6 + 6 = 12 m et « elle a raison »</t>
        </is>
      </c>
      <c r="F220" s="20" t="inlineStr">
        <is>
          <t>Raisonnement additif : 6 000 FCFA de plus sont crus donner 6 m de plus, la proportionnalité n'est pas comprise.</t>
        </is>
      </c>
    </row>
    <row r="221">
      <c r="A221" s="22" t="inlineStr">
        <is>
          <t>5eme</t>
        </is>
      </c>
      <c r="B221" s="23" t="inlineStr">
        <is>
          <t>D3</t>
        </is>
      </c>
      <c r="C221" s="22" t="inlineStr">
        <is>
          <t>D.PROP</t>
        </is>
      </c>
      <c r="D221" s="23" t="inlineStr">
        <is>
          <t>MOD</t>
        </is>
      </c>
      <c r="E221" s="22" t="inlineStr">
        <is>
          <t>Ecrit 15 000 ÷ 6 = 2 500 m</t>
        </is>
      </c>
      <c r="F221" s="22" t="inlineStr">
        <is>
          <t>Le budget est divisé par la longueur : les données ne sont pas associées à la bonne grandeur.</t>
        </is>
      </c>
    </row>
    <row r="222">
      <c r="A222" s="20" t="inlineStr">
        <is>
          <t>5eme</t>
        </is>
      </c>
      <c r="B222" s="21" t="inlineStr">
        <is>
          <t>D3</t>
        </is>
      </c>
      <c r="C222" s="20" t="inlineStr">
        <is>
          <t>D.PROP</t>
        </is>
      </c>
      <c r="D222" s="21" t="inlineStr">
        <is>
          <t>PRC</t>
        </is>
      </c>
      <c r="E222" s="20" t="inlineStr">
        <is>
          <t>Ecrit 9 000 ÷ 6 = 1 500 puis 15 000 ÷ 1 500 = 100 m</t>
        </is>
      </c>
      <c r="F222" s="20" t="inlineStr">
        <is>
          <t>Le retour à l'unité est juste mais un zéro est mal géré dans la seconde division.</t>
        </is>
      </c>
    </row>
    <row r="223">
      <c r="A223" s="22" t="inlineStr">
        <is>
          <t>5eme</t>
        </is>
      </c>
      <c r="B223" s="23" t="inlineStr">
        <is>
          <t>D3</t>
        </is>
      </c>
      <c r="C223" s="22" t="inlineStr">
        <is>
          <t>D.PROP</t>
        </is>
      </c>
      <c r="D223" s="23" t="inlineStr">
        <is>
          <t>RED</t>
        </is>
      </c>
      <c r="E223" s="22" t="inlineStr">
        <is>
          <t>Ecrit « non » sans comparer 12 m à 10 m ni 18 000 à 15 000 FCFA</t>
        </is>
      </c>
      <c r="F223" s="22" t="inlineStr">
        <is>
          <t>Le refus est juste mais n'est appuyé sur aucun calcul ni comparaison.</t>
        </is>
      </c>
    </row>
    <row r="224">
      <c r="A224" s="20" t="inlineStr">
        <is>
          <t>5eme</t>
        </is>
      </c>
      <c r="B224" s="21" t="inlineStr">
        <is>
          <t>P1.1</t>
        </is>
      </c>
      <c r="C224" s="20" t="inlineStr">
        <is>
          <t>G.PARA</t>
        </is>
      </c>
      <c r="D224" s="21" t="inlineStr">
        <is>
          <t>CPT</t>
        </is>
      </c>
      <c r="E224" s="20" t="inlineStr">
        <is>
          <t>Ecrit « Soungalo a raison, (d) et (d') se coupent »</t>
        </is>
      </c>
      <c r="F224" s="20" t="inlineStr">
        <is>
          <t>Deux perpendiculaires à une même droite sont crues sécantes : la propriété est remplacée par une image fausse.</t>
        </is>
      </c>
    </row>
    <row r="225">
      <c r="A225" s="22" t="inlineStr">
        <is>
          <t>5eme</t>
        </is>
      </c>
      <c r="B225" s="23" t="inlineStr">
        <is>
          <t>P1.1</t>
        </is>
      </c>
      <c r="C225" s="22" t="inlineStr">
        <is>
          <t>G.PARA</t>
        </is>
      </c>
      <c r="D225" s="23" t="inlineStr">
        <is>
          <t>CNS</t>
        </is>
      </c>
      <c r="E225" s="22" t="inlineStr">
        <is>
          <t>Ecrit « on ne peut pas savoir sans la figure »</t>
        </is>
      </c>
      <c r="F225" s="22" t="inlineStr">
        <is>
          <t>La propriété des deux droites perpendiculaires à une même droite n'est pas disponible.</t>
        </is>
      </c>
    </row>
    <row r="226">
      <c r="A226" s="20" t="inlineStr">
        <is>
          <t>5eme</t>
        </is>
      </c>
      <c r="B226" s="21" t="inlineStr">
        <is>
          <t>P1.1</t>
        </is>
      </c>
      <c r="C226" s="20" t="inlineStr">
        <is>
          <t>G.PARA</t>
        </is>
      </c>
      <c r="D226" s="21" t="inlineStr">
        <is>
          <t>MOD</t>
        </is>
      </c>
      <c r="E226" s="20" t="inlineStr">
        <is>
          <t>Ecrit « (d) et (d') sont parallèles » sans dire si elles se coupent</t>
        </is>
      </c>
      <c r="F226" s="20" t="inlineStr">
        <is>
          <t>La propriété est connue mais n'est pas ramenée à la question posée : l'affirmation de Soungalo n'est pas jugée.</t>
        </is>
      </c>
    </row>
    <row r="227">
      <c r="A227" s="22" t="inlineStr">
        <is>
          <t>5eme</t>
        </is>
      </c>
      <c r="B227" s="23" t="inlineStr">
        <is>
          <t>P1.1</t>
        </is>
      </c>
      <c r="C227" s="22" t="inlineStr">
        <is>
          <t>G.PARA</t>
        </is>
      </c>
      <c r="D227" s="23" t="inlineStr">
        <is>
          <t>RED</t>
        </is>
      </c>
      <c r="E227" s="22" t="inlineStr">
        <is>
          <t>Ecrit « Soungalo a tort » sans citer de propriété</t>
        </is>
      </c>
      <c r="F227" s="22" t="inlineStr">
        <is>
          <t>Le refus est juste mais n'est appuyé sur aucune justification.</t>
        </is>
      </c>
    </row>
    <row r="228">
      <c r="A228" s="20" t="inlineStr">
        <is>
          <t>5eme</t>
        </is>
      </c>
      <c r="B228" s="21" t="inlineStr">
        <is>
          <t>P1.2</t>
        </is>
      </c>
      <c r="C228" s="20" t="inlineStr">
        <is>
          <t>G.PARAL</t>
        </is>
      </c>
      <c r="D228" s="21" t="inlineStr">
        <is>
          <t>CPT</t>
        </is>
      </c>
      <c r="E228" s="20" t="inlineStr">
        <is>
          <t>Ecrit « ABCD est un carré »</t>
        </is>
      </c>
      <c r="F228" s="20" t="inlineStr">
        <is>
          <t>Quatre angles droits sont crus suffisants pour un carré, malgré AB = 12 m et AD = 7 m : carré et rectangle sont confondus.</t>
        </is>
      </c>
    </row>
    <row r="229">
      <c r="A229" s="22" t="inlineStr">
        <is>
          <t>5eme</t>
        </is>
      </c>
      <c r="B229" s="23" t="inlineStr">
        <is>
          <t>P1.2</t>
        </is>
      </c>
      <c r="C229" s="22" t="inlineStr">
        <is>
          <t>M.AIRE</t>
        </is>
      </c>
      <c r="D229" s="23" t="inlineStr">
        <is>
          <t>CPT</t>
        </is>
      </c>
      <c r="E229" s="22" t="inlineStr">
        <is>
          <t>Ecrit aire = 2 × (12 + 7) = 38 m²</t>
        </is>
      </c>
      <c r="F229" s="22" t="inlineStr">
        <is>
          <t>Le périmètre est calculé à la place de l'aire : les deux grandeurs sont confondues.</t>
        </is>
      </c>
    </row>
    <row r="230">
      <c r="A230" s="20" t="inlineStr">
        <is>
          <t>5eme</t>
        </is>
      </c>
      <c r="B230" s="21" t="inlineStr">
        <is>
          <t>P1.2</t>
        </is>
      </c>
      <c r="C230" s="20" t="inlineStr">
        <is>
          <t>M.AIRE</t>
        </is>
      </c>
      <c r="D230" s="21" t="inlineStr">
        <is>
          <t>PRC</t>
        </is>
      </c>
      <c r="E230" s="20" t="inlineStr">
        <is>
          <t>Ecrit 12 × 7 = 74 m²</t>
        </is>
      </c>
      <c r="F230" s="20" t="inlineStr">
        <is>
          <t>La formule de l'aire est juste mais le produit est mal exécuté.</t>
        </is>
      </c>
    </row>
    <row r="231">
      <c r="A231" s="22" t="inlineStr">
        <is>
          <t>5eme</t>
        </is>
      </c>
      <c r="B231" s="23" t="inlineStr">
        <is>
          <t>P1.2</t>
        </is>
      </c>
      <c r="C231" s="22" t="inlineStr">
        <is>
          <t>G.PARAL</t>
        </is>
      </c>
      <c r="D231" s="23" t="inlineStr">
        <is>
          <t>RED</t>
        </is>
      </c>
      <c r="E231" s="22" t="inlineStr">
        <is>
          <t>Ecrit « rectangle » sans évoquer les quatre angles droits</t>
        </is>
      </c>
      <c r="F231" s="22" t="inlineStr">
        <is>
          <t>La nature est juste mais n'est pas justifiée par les données de l'énoncé.</t>
        </is>
      </c>
    </row>
    <row r="232">
      <c r="A232" s="20" t="inlineStr">
        <is>
          <t>5eme</t>
        </is>
      </c>
      <c r="B232" s="21" t="inlineStr">
        <is>
          <t>P1.3</t>
        </is>
      </c>
      <c r="C232" s="20" t="inlineStr">
        <is>
          <t>N.NUM</t>
        </is>
      </c>
      <c r="D232" s="21" t="inlineStr">
        <is>
          <t>CPT</t>
        </is>
      </c>
      <c r="E232" s="20" t="inlineStr">
        <is>
          <t>Ecrit 84 × 0,1 = 840 m³ et « Issouf a tort »</t>
        </is>
      </c>
      <c r="F232" s="20" t="inlineStr">
        <is>
          <t>Multiplier par 0,1 est traité comme multiplier par 10 : la valeur de position des dixièmes n'est pas comprise.</t>
        </is>
      </c>
    </row>
    <row r="233">
      <c r="A233" s="22" t="inlineStr">
        <is>
          <t>5eme</t>
        </is>
      </c>
      <c r="B233" s="23" t="inlineStr">
        <is>
          <t>P1.3</t>
        </is>
      </c>
      <c r="C233" s="22" t="inlineStr">
        <is>
          <t>N.NUM</t>
        </is>
      </c>
      <c r="D233" s="23" t="inlineStr">
        <is>
          <t>PRC</t>
        </is>
      </c>
      <c r="E233" s="22" t="inlineStr">
        <is>
          <t>Ecrit 84 × 0,1 = 0,84 m³</t>
        </is>
      </c>
      <c r="F233" s="22" t="inlineStr">
        <is>
          <t>La multiplication est bien choisie mais la virgule est décalée de deux rangs au lieu d'un.</t>
        </is>
      </c>
    </row>
    <row r="234">
      <c r="A234" s="20" t="inlineStr">
        <is>
          <t>5eme</t>
        </is>
      </c>
      <c r="B234" s="21" t="inlineStr">
        <is>
          <t>P1.3</t>
        </is>
      </c>
      <c r="C234" s="20" t="inlineStr">
        <is>
          <t>M.VOL</t>
        </is>
      </c>
      <c r="D234" s="21" t="inlineStr">
        <is>
          <t>MOD</t>
        </is>
      </c>
      <c r="E234" s="20" t="inlineStr">
        <is>
          <t>Ecrit un calcul avec le prix du ciment, par exemple 9 × 6 500 = 58 500 FCFA</t>
        </is>
      </c>
      <c r="F234" s="20" t="inlineStr">
        <is>
          <t>La donnée inutile est utilisée : la question (volume comparé à 9 m³) n'est pas traduite.</t>
        </is>
      </c>
    </row>
    <row r="235">
      <c r="A235" s="22" t="inlineStr">
        <is>
          <t>5eme</t>
        </is>
      </c>
      <c r="B235" s="23" t="inlineStr">
        <is>
          <t>P1.3</t>
        </is>
      </c>
      <c r="C235" s="22" t="inlineStr">
        <is>
          <t>M.VOL</t>
        </is>
      </c>
      <c r="D235" s="23" t="inlineStr">
        <is>
          <t>CNS</t>
        </is>
      </c>
      <c r="E235" s="22" t="inlineStr">
        <is>
          <t>Ecrit V = 84 + 0,1 = 84,1 m³</t>
        </is>
      </c>
      <c r="F235" s="22" t="inlineStr">
        <is>
          <t>Le volume du pavé droit (aire de base × hauteur) n'est pas disponible : les deux données sont additionnées.</t>
        </is>
      </c>
    </row>
    <row r="236">
      <c r="A236" s="20" t="inlineStr">
        <is>
          <t>5eme</t>
        </is>
      </c>
      <c r="B236" s="21" t="inlineStr">
        <is>
          <t>P1.3</t>
        </is>
      </c>
      <c r="C236" s="20" t="inlineStr">
        <is>
          <t>M.VOL</t>
        </is>
      </c>
      <c r="D236" s="21" t="inlineStr">
        <is>
          <t>RED</t>
        </is>
      </c>
      <c r="E236" s="20" t="inlineStr">
        <is>
          <t>Ecrit 8,4 m³ sans comparer à 9 m³ ni phrase de conclusion</t>
        </is>
      </c>
      <c r="F236" s="20" t="inlineStr">
        <is>
          <t>Le volume est juste mais la décision demandée n'est ni argumentée ni conclue.</t>
        </is>
      </c>
    </row>
    <row r="237">
      <c r="A237" s="22" t="inlineStr">
        <is>
          <t>5eme</t>
        </is>
      </c>
      <c r="B237" s="23" t="inlineStr">
        <is>
          <t>P2.1</t>
        </is>
      </c>
      <c r="C237" s="22" t="inlineStr">
        <is>
          <t>N.AST</t>
        </is>
      </c>
      <c r="D237" s="23" t="inlineStr">
        <is>
          <t>CNS</t>
        </is>
      </c>
      <c r="E237" s="22" t="inlineStr">
        <is>
          <t>Ecrit 1 800 par deux multiplications posées, sans regroupement</t>
        </is>
      </c>
      <c r="F237" s="22" t="inlineStr">
        <is>
          <t>Le calcul est juste mais l'associativité n'est pas mobilisée : le calcul astucieux n'est pas disponible.</t>
        </is>
      </c>
    </row>
    <row r="238">
      <c r="A238" s="20" t="inlineStr">
        <is>
          <t>5eme</t>
        </is>
      </c>
      <c r="B238" s="21" t="inlineStr">
        <is>
          <t>P2.1</t>
        </is>
      </c>
      <c r="C238" s="20" t="inlineStr">
        <is>
          <t>N.AST</t>
        </is>
      </c>
      <c r="D238" s="21" t="inlineStr">
        <is>
          <t>PRC</t>
        </is>
      </c>
      <c r="E238" s="20" t="inlineStr">
        <is>
          <t>Ecrit 25 × 4 = 100 puis 100 × 18 = 180 savons</t>
        </is>
      </c>
      <c r="F238" s="20" t="inlineStr">
        <is>
          <t>Le regroupement est bien choisi mais un zéro est perdu dans la multiplication par 100.</t>
        </is>
      </c>
    </row>
    <row r="239">
      <c r="A239" s="22" t="inlineStr">
        <is>
          <t>5eme</t>
        </is>
      </c>
      <c r="B239" s="23" t="inlineStr">
        <is>
          <t>P2.1</t>
        </is>
      </c>
      <c r="C239" s="22" t="inlineStr">
        <is>
          <t>N.AST</t>
        </is>
      </c>
      <c r="D239" s="23" t="inlineStr">
        <is>
          <t>MOD</t>
        </is>
      </c>
      <c r="E239" s="22" t="inlineStr">
        <is>
          <t>Ecrit 25 + 4 + 18 = 47 savons</t>
        </is>
      </c>
      <c r="F239" s="22" t="inlineStr">
        <is>
          <t>La structure « cartons de paquets de savons » n'est pas traduite par une multiplication.</t>
        </is>
      </c>
    </row>
    <row r="240">
      <c r="A240" s="20" t="inlineStr">
        <is>
          <t>5eme</t>
        </is>
      </c>
      <c r="B240" s="21" t="inlineStr">
        <is>
          <t>P2.1</t>
        </is>
      </c>
      <c r="C240" s="20" t="inlineStr">
        <is>
          <t>N.AST</t>
        </is>
      </c>
      <c r="D240" s="21" t="inlineStr">
        <is>
          <t>RED</t>
        </is>
      </c>
      <c r="E240" s="20" t="inlineStr">
        <is>
          <t>Ecrit 100 × 18 = 1 800 sans dire d'où vient 100</t>
        </is>
      </c>
      <c r="F240" s="20" t="inlineStr">
        <is>
          <t>Le résultat est juste mais le regroupement demandé (25 × 4) n'est pas indiqué.</t>
        </is>
      </c>
    </row>
    <row r="241">
      <c r="A241" s="22" t="inlineStr">
        <is>
          <t>5eme</t>
        </is>
      </c>
      <c r="B241" s="23" t="inlineStr">
        <is>
          <t>P2.2</t>
        </is>
      </c>
      <c r="C241" s="22" t="inlineStr">
        <is>
          <t>D.PROP</t>
        </is>
      </c>
      <c r="D241" s="23" t="inlineStr">
        <is>
          <t>PRC</t>
        </is>
      </c>
      <c r="E241" s="22" t="inlineStr">
        <is>
          <t>Ecrit 450 000 ÷ 1 800 = 2 500 FCFA</t>
        </is>
      </c>
      <c r="F241" s="22" t="inlineStr">
        <is>
          <t>La division est bien choisie mais un zéro est mal géré dans le quotient.</t>
        </is>
      </c>
    </row>
    <row r="242">
      <c r="A242" s="20" t="inlineStr">
        <is>
          <t>5eme</t>
        </is>
      </c>
      <c r="B242" s="21" t="inlineStr">
        <is>
          <t>P2.2</t>
        </is>
      </c>
      <c r="C242" s="20" t="inlineStr">
        <is>
          <t>D.PROP</t>
        </is>
      </c>
      <c r="D242" s="21" t="inlineStr">
        <is>
          <t>MOD</t>
        </is>
      </c>
      <c r="E242" s="20" t="inlineStr">
        <is>
          <t>Ecrit 450 000 ÷ 25 = 18 000 FCFA</t>
        </is>
      </c>
      <c r="F242" s="20" t="inlineStr">
        <is>
          <t>Le prix est partagé entre les 25 cartons et non entre les 1 800 savons : l'unité demandée n'est pas identifiée.</t>
        </is>
      </c>
    </row>
    <row r="243">
      <c r="A243" s="22" t="inlineStr">
        <is>
          <t>5eme</t>
        </is>
      </c>
      <c r="B243" s="23" t="inlineStr">
        <is>
          <t>P2.2</t>
        </is>
      </c>
      <c r="C243" s="22" t="inlineStr">
        <is>
          <t>D.PROP</t>
        </is>
      </c>
      <c r="D243" s="23" t="inlineStr">
        <is>
          <t>CPT</t>
        </is>
      </c>
      <c r="E243" s="22" t="inlineStr">
        <is>
          <t>Ecrit 450 000 × 1 800 = 810 000 000 FCFA</t>
        </is>
      </c>
      <c r="F243" s="22" t="inlineStr">
        <is>
          <t>Le prix unitaire est cherché par une multiplication : le sens de la division-partage n'est pas compris.</t>
        </is>
      </c>
    </row>
    <row r="244">
      <c r="A244" s="20" t="inlineStr">
        <is>
          <t>5eme</t>
        </is>
      </c>
      <c r="B244" s="21" t="inlineStr">
        <is>
          <t>P2.2</t>
        </is>
      </c>
      <c r="C244" s="20" t="inlineStr">
        <is>
          <t>D.PROP</t>
        </is>
      </c>
      <c r="D244" s="21" t="inlineStr">
        <is>
          <t>RED</t>
        </is>
      </c>
      <c r="E244" s="20" t="inlineStr">
        <is>
          <t>Ecrit 250 FCFA sans aucune opération</t>
        </is>
      </c>
      <c r="F244" s="20" t="inlineStr">
        <is>
          <t>Le résultat est juste mais la division qui y conduit n'est pas écrite.</t>
        </is>
      </c>
    </row>
    <row r="245">
      <c r="A245" s="22" t="inlineStr">
        <is>
          <t>5eme</t>
        </is>
      </c>
      <c r="B245" s="23" t="inlineStr">
        <is>
          <t>P2.3</t>
        </is>
      </c>
      <c r="C245" s="22" t="inlineStr">
        <is>
          <t>N.PRIO</t>
        </is>
      </c>
      <c r="D245" s="23" t="inlineStr">
        <is>
          <t>MOD</t>
        </is>
      </c>
      <c r="E245" s="22" t="inlineStr">
        <is>
          <t>Ecrit 325 × 1 800 = 585 000 FCFA et « Rakieta a raison »</t>
        </is>
      </c>
      <c r="F245" s="22" t="inlineStr">
        <is>
          <t>Le prix de vente est pris pour le bénéfice : la question n'est pas traduite en différence vente moins achat.</t>
        </is>
      </c>
    </row>
    <row r="246">
      <c r="A246" s="20" t="inlineStr">
        <is>
          <t>5eme</t>
        </is>
      </c>
      <c r="B246" s="21" t="inlineStr">
        <is>
          <t>P2.3</t>
        </is>
      </c>
      <c r="C246" s="20" t="inlineStr">
        <is>
          <t>N.PRIO</t>
        </is>
      </c>
      <c r="D246" s="21" t="inlineStr">
        <is>
          <t>CNS</t>
        </is>
      </c>
      <c r="E246" s="20" t="inlineStr">
        <is>
          <t>Ecrit 325 + 250 = 575 FCFA, puis 575 × 1 800 = 1 035 000 FCFA</t>
        </is>
      </c>
      <c r="F246" s="20" t="inlineStr">
        <is>
          <t>La notion de bénéfice (vente moins achat) n'est pas disponible : les deux prix sont additionnés.</t>
        </is>
      </c>
    </row>
    <row r="247">
      <c r="A247" s="22" t="inlineStr">
        <is>
          <t>5eme</t>
        </is>
      </c>
      <c r="B247" s="23" t="inlineStr">
        <is>
          <t>P2.3</t>
        </is>
      </c>
      <c r="C247" s="22" t="inlineStr">
        <is>
          <t>N.PRIO</t>
        </is>
      </c>
      <c r="D247" s="23" t="inlineStr">
        <is>
          <t>PRC</t>
        </is>
      </c>
      <c r="E247" s="22" t="inlineStr">
        <is>
          <t>Ecrit 325 - 250 = 175 FCFA, puis 175 × 1 800 = 315 000 FCFA</t>
        </is>
      </c>
      <c r="F247" s="22" t="inlineStr">
        <is>
          <t>La démarche est juste mais la retenue est oubliée dans la soustraction des centaines.</t>
        </is>
      </c>
    </row>
    <row r="248">
      <c r="A248" s="20" t="inlineStr">
        <is>
          <t>5eme</t>
        </is>
      </c>
      <c r="B248" s="21" t="inlineStr">
        <is>
          <t>P2.3</t>
        </is>
      </c>
      <c r="C248" s="20" t="inlineStr">
        <is>
          <t>D.PROP</t>
        </is>
      </c>
      <c r="D248" s="21" t="inlineStr">
        <is>
          <t>PRC</t>
        </is>
      </c>
      <c r="E248" s="20" t="inlineStr">
        <is>
          <t>Ecrit 75 × 1 800 = 13 500 FCFA</t>
        </is>
      </c>
      <c r="F248" s="20" t="inlineStr">
        <is>
          <t>Le bénéfice unitaire est juste mais un zéro est perdu dans le produit par 1 800.</t>
        </is>
      </c>
    </row>
    <row r="249">
      <c r="A249" s="22" t="inlineStr">
        <is>
          <t>5eme</t>
        </is>
      </c>
      <c r="B249" s="23" t="inlineStr">
        <is>
          <t>P2.3</t>
        </is>
      </c>
      <c r="C249" s="22" t="inlineStr">
        <is>
          <t>N.PRIO</t>
        </is>
      </c>
      <c r="D249" s="23" t="inlineStr">
        <is>
          <t>RED</t>
        </is>
      </c>
      <c r="E249" s="22" t="inlineStr">
        <is>
          <t>Ecrit 135 000 FCFA sans comparer à 150 000 FCFA ni conclure</t>
        </is>
      </c>
      <c r="F249" s="22" t="inlineStr">
        <is>
          <t>Les calculs sont justes mais l'affirmation de Rakieta n'est pas jugée par une phrase de conclusion.</t>
        </is>
      </c>
    </row>
    <row r="250">
      <c r="A250" s="20" t="inlineStr">
        <is>
          <t>5eme</t>
        </is>
      </c>
      <c r="B250" s="21" t="inlineStr">
        <is>
          <t>P3.1</t>
        </is>
      </c>
      <c r="C250" s="20" t="inlineStr">
        <is>
          <t>F.REL</t>
        </is>
      </c>
      <c r="D250" s="21" t="inlineStr">
        <is>
          <t>MOD</t>
        </is>
      </c>
      <c r="E250" s="20" t="inlineStr">
        <is>
          <t>Ecrit chez Noaga (15 000 + 900) × 10 = 159 000 ; 318 000 ; 477 000</t>
        </is>
      </c>
      <c r="F250" s="20" t="inlineStr">
        <is>
          <t>Le forfait est traité comme un prix par sac : l'énoncé n'est pas traduit.</t>
        </is>
      </c>
    </row>
    <row r="251">
      <c r="A251" s="22" t="inlineStr">
        <is>
          <t>5eme</t>
        </is>
      </c>
      <c r="B251" s="23" t="inlineStr">
        <is>
          <t>P3.1</t>
        </is>
      </c>
      <c r="C251" s="22" t="inlineStr">
        <is>
          <t>N.PRIO</t>
        </is>
      </c>
      <c r="D251" s="23" t="inlineStr">
        <is>
          <t>CPT</t>
        </is>
      </c>
      <c r="E251" s="22" t="inlineStr">
        <is>
          <t>Ecrit 15 000 + 900 × 10 = 159 000</t>
        </is>
      </c>
      <c r="F251" s="22" t="inlineStr">
        <is>
          <t>L'expression est juste mais calculée de gauche à droite : la priorité de la multiplication n'est pas appliquée.</t>
        </is>
      </c>
    </row>
    <row r="252">
      <c r="A252" s="20" t="inlineStr">
        <is>
          <t>5eme</t>
        </is>
      </c>
      <c r="B252" s="21" t="inlineStr">
        <is>
          <t>P3.1</t>
        </is>
      </c>
      <c r="C252" s="20" t="inlineStr">
        <is>
          <t>F.REL</t>
        </is>
      </c>
      <c r="D252" s="21" t="inlineStr">
        <is>
          <t>PRC</t>
        </is>
      </c>
      <c r="E252" s="20" t="inlineStr">
        <is>
          <t>Ecrit chez Noaga 9 000 ; 18 000 ; 27 000</t>
        </is>
      </c>
      <c r="F252" s="20" t="inlineStr">
        <is>
          <t>Le prix par sac est bien multiplié mais le forfait de 15 000 FCFA est oublié (étape omise).</t>
        </is>
      </c>
    </row>
    <row r="253">
      <c r="A253" s="22" t="inlineStr">
        <is>
          <t>5eme</t>
        </is>
      </c>
      <c r="B253" s="23" t="inlineStr">
        <is>
          <t>P3.1</t>
        </is>
      </c>
      <c r="C253" s="22" t="inlineStr">
        <is>
          <t>F.REL</t>
        </is>
      </c>
      <c r="D253" s="23" t="inlineStr">
        <is>
          <t>ATT</t>
        </is>
      </c>
      <c r="E253" s="22" t="inlineStr">
        <is>
          <t>Ecrit chez Drissa 15 000 ; 45 000 ; 30 000</t>
        </is>
      </c>
      <c r="F253" s="22" t="inlineStr">
        <is>
          <t>Les prix sont justes mais deux cases sont interverties en recopiant.</t>
        </is>
      </c>
    </row>
    <row r="254">
      <c r="A254" s="20" t="inlineStr">
        <is>
          <t>5eme</t>
        </is>
      </c>
      <c r="B254" s="21" t="inlineStr">
        <is>
          <t>P3.2</t>
        </is>
      </c>
      <c r="C254" s="20" t="inlineStr">
        <is>
          <t>D.PROP</t>
        </is>
      </c>
      <c r="D254" s="21" t="inlineStr">
        <is>
          <t>CPT</t>
        </is>
      </c>
      <c r="E254" s="20" t="inlineStr">
        <is>
          <t>Ecrit « Noaga et Drissa, car les prix augmentent avec le nombre de sacs »</t>
        </is>
      </c>
      <c r="F254" s="20" t="inlineStr">
        <is>
          <t>Proportionnalité et croissance sont confondues.</t>
        </is>
      </c>
    </row>
    <row r="255">
      <c r="A255" s="22" t="inlineStr">
        <is>
          <t>5eme</t>
        </is>
      </c>
      <c r="B255" s="23" t="inlineStr">
        <is>
          <t>P3.2</t>
        </is>
      </c>
      <c r="C255" s="22" t="inlineStr">
        <is>
          <t>D.PROP</t>
        </is>
      </c>
      <c r="D255" s="23" t="inlineStr">
        <is>
          <t>CPT</t>
        </is>
      </c>
      <c r="E255" s="22" t="inlineStr">
        <is>
          <t>Ecrit « Noaga, car son prix augmente de 9 000 FCFA à chaque colonne »</t>
        </is>
      </c>
      <c r="F255" s="22" t="inlineStr">
        <is>
          <t>Des écarts constants sont pris pour la proportionnalité : la présence du forfait n'est pas vue comme un obstacle.</t>
        </is>
      </c>
    </row>
    <row r="256">
      <c r="A256" s="20" t="inlineStr">
        <is>
          <t>5eme</t>
        </is>
      </c>
      <c r="B256" s="21" t="inlineStr">
        <is>
          <t>P3.2</t>
        </is>
      </c>
      <c r="C256" s="20" t="inlineStr">
        <is>
          <t>D.PROP</t>
        </is>
      </c>
      <c r="D256" s="21" t="inlineStr">
        <is>
          <t>MOD</t>
        </is>
      </c>
      <c r="E256" s="20" t="inlineStr">
        <is>
          <t>Ecrit « Drissa, car il est moins cher pour 10 sacs »</t>
        </is>
      </c>
      <c r="F256" s="20" t="inlineStr">
        <is>
          <t>La question est traduite comme une comparaison des prix et non comme une recherche de coefficient.</t>
        </is>
      </c>
    </row>
    <row r="257">
      <c r="A257" s="22" t="inlineStr">
        <is>
          <t>5eme</t>
        </is>
      </c>
      <c r="B257" s="23" t="inlineStr">
        <is>
          <t>P3.2</t>
        </is>
      </c>
      <c r="C257" s="22" t="inlineStr">
        <is>
          <t>D.PROP</t>
        </is>
      </c>
      <c r="D257" s="23" t="inlineStr">
        <is>
          <t>RED</t>
        </is>
      </c>
      <c r="E257" s="22" t="inlineStr">
        <is>
          <t>Ecrit « Drissa » sans coefficient 1 500 ni explication pour Noaga</t>
        </is>
      </c>
      <c r="F257" s="22" t="inlineStr">
        <is>
          <t>La réponse est juste mais n'est pas justifiée (1 pt sur 3).</t>
        </is>
      </c>
    </row>
    <row r="258">
      <c r="A258" s="20" t="inlineStr">
        <is>
          <t>5eme</t>
        </is>
      </c>
      <c r="B258" s="21" t="inlineStr">
        <is>
          <t>P3.3</t>
        </is>
      </c>
      <c r="C258" s="20" t="inlineStr">
        <is>
          <t>N.NUM</t>
        </is>
      </c>
      <c r="D258" s="21" t="inlineStr">
        <is>
          <t>PRC</t>
        </is>
      </c>
      <c r="E258" s="20" t="inlineStr">
        <is>
          <t>Ecrit 25 × 48,5 = 121,25 kg</t>
        </is>
      </c>
      <c r="F258" s="20" t="inlineStr">
        <is>
          <t>La multiplication est bien choisie mais la virgule est mal placée dans le produit (1 212,5 kg attendu).</t>
        </is>
      </c>
    </row>
    <row r="259">
      <c r="A259" s="22" t="inlineStr">
        <is>
          <t>5eme</t>
        </is>
      </c>
      <c r="B259" s="23" t="inlineStr">
        <is>
          <t>P3.3</t>
        </is>
      </c>
      <c r="C259" s="22" t="inlineStr">
        <is>
          <t>M.CONV</t>
        </is>
      </c>
      <c r="D259" s="23" t="inlineStr">
        <is>
          <t>CNS</t>
        </is>
      </c>
      <c r="E259" s="22" t="inlineStr">
        <is>
          <t>Ecrit 1,5 t = 150 kg et « les 25 sacs ne passent pas »</t>
        </is>
      </c>
      <c r="F259" s="22" t="inlineStr">
        <is>
          <t>L'égalité 1 t = 1 000 kg n'est pas disponible.</t>
        </is>
      </c>
    </row>
    <row r="260">
      <c r="A260" s="20" t="inlineStr">
        <is>
          <t>5eme</t>
        </is>
      </c>
      <c r="B260" s="21" t="inlineStr">
        <is>
          <t>P3.3</t>
        </is>
      </c>
      <c r="C260" s="20" t="inlineStr">
        <is>
          <t>M.CONV</t>
        </is>
      </c>
      <c r="D260" s="21" t="inlineStr">
        <is>
          <t>CPT</t>
        </is>
      </c>
      <c r="E260" s="20" t="inlineStr">
        <is>
          <t>Compare 1 212,5 à 1,5 et écrit « non »</t>
        </is>
      </c>
      <c r="F260" s="20" t="inlineStr">
        <is>
          <t>Deux nombres exprimés dans des unités différentes sont comparés directement : la nécessité de convertir n'est pas comprise.</t>
        </is>
      </c>
    </row>
    <row r="261">
      <c r="A261" s="22" t="inlineStr">
        <is>
          <t>5eme</t>
        </is>
      </c>
      <c r="B261" s="23" t="inlineStr">
        <is>
          <t>P3.3</t>
        </is>
      </c>
      <c r="C261" s="22" t="inlineStr">
        <is>
          <t>N.NUM</t>
        </is>
      </c>
      <c r="D261" s="23" t="inlineStr">
        <is>
          <t>MOD</t>
        </is>
      </c>
      <c r="E261" s="22" t="inlineStr">
        <is>
          <t>Ecrit « il ne manque rien, les deux coûtent 37 500 FCFA pour 25 sacs »</t>
        </is>
      </c>
      <c r="F261" s="22" t="inlineStr">
        <is>
          <t>Les 25 sacs du contrôle de charge sont pris pour la récolte entière : la donnée manquante n'est pas repérée.</t>
        </is>
      </c>
    </row>
    <row r="262">
      <c r="A262" s="20" t="inlineStr">
        <is>
          <t>5eme</t>
        </is>
      </c>
      <c r="B262" s="21" t="inlineStr">
        <is>
          <t>P3.3</t>
        </is>
      </c>
      <c r="C262" s="20" t="inlineStr">
        <is>
          <t>N.NUM</t>
        </is>
      </c>
      <c r="D262" s="21" t="inlineStr">
        <is>
          <t>RED</t>
        </is>
      </c>
      <c r="E262" s="20" t="inlineStr">
        <is>
          <t>Ecrit « oui, les 25 sacs passent » sans calculer 25 × 48,5 ni convertir 1,5 t en kg</t>
        </is>
      </c>
      <c r="F262" s="20" t="inlineStr">
        <is>
          <t>La décision est juste mais n'est appuyée sur aucun calcul : la masse de 1 212,5 kg et sa comparaison à 1 500 kg ne sont pas écrites.</t>
        </is>
      </c>
    </row>
    <row r="263">
      <c r="A263" s="22" t="inlineStr">
        <is>
          <t>4eme</t>
        </is>
      </c>
      <c r="B263" s="23" t="inlineStr">
        <is>
          <t>N1</t>
        </is>
      </c>
      <c r="C263" s="22" t="inlineStr">
        <is>
          <t>N.DIVIS</t>
        </is>
      </c>
      <c r="D263" s="23" t="inlineStr">
        <is>
          <t>CPT</t>
        </is>
      </c>
      <c r="E263" s="22" t="inlineStr">
        <is>
          <t>Ecrit 2 352</t>
        </is>
      </c>
      <c r="F263" s="22" t="inlineStr">
        <is>
          <t>Le critère de 9 est confondu avec celui de 3 : la somme des chiffres 12 est un multiple de 3, pas de 9.</t>
        </is>
      </c>
    </row>
    <row r="264">
      <c r="A264" s="20" t="inlineStr">
        <is>
          <t>4eme</t>
        </is>
      </c>
      <c r="B264" s="21" t="inlineStr">
        <is>
          <t>N1</t>
        </is>
      </c>
      <c r="C264" s="20" t="inlineStr">
        <is>
          <t>N.DIVIS</t>
        </is>
      </c>
      <c r="D264" s="21" t="inlineStr">
        <is>
          <t>PRC</t>
        </is>
      </c>
      <c r="E264" s="20" t="inlineStr">
        <is>
          <t>Ecrit 4 725</t>
        </is>
      </c>
      <c r="F264" s="20" t="inlineStr">
        <is>
          <t>Le critère de 9 est bien appliqué (somme 18) mais la parité n'est pas contrôlée : une des deux conditions est omise.</t>
        </is>
      </c>
    </row>
    <row r="265">
      <c r="A265" s="22" t="inlineStr">
        <is>
          <t>4eme</t>
        </is>
      </c>
      <c r="B265" s="23" t="inlineStr">
        <is>
          <t>N1</t>
        </is>
      </c>
      <c r="C265" s="22" t="inlineStr">
        <is>
          <t>N.DIVIS</t>
        </is>
      </c>
      <c r="D265" s="23" t="inlineStr">
        <is>
          <t>CNS</t>
        </is>
      </c>
      <c r="E265" s="22" t="inlineStr">
        <is>
          <t>Ecrit 2 352 ; 6 138 (les deux nombres pairs)</t>
        </is>
      </c>
      <c r="F265" s="22" t="inlineStr">
        <is>
          <t>Seul le critère de 2 est disponible : le critère de divisibilité par 9 n'est pas mobilisé.</t>
        </is>
      </c>
    </row>
    <row r="266">
      <c r="A266" s="20" t="inlineStr">
        <is>
          <t>4eme</t>
        </is>
      </c>
      <c r="B266" s="21" t="inlineStr">
        <is>
          <t>N2</t>
        </is>
      </c>
      <c r="C266" s="20" t="inlineStr">
        <is>
          <t>N.RELOP</t>
        </is>
      </c>
      <c r="D266" s="21" t="inlineStr">
        <is>
          <t>CPT</t>
        </is>
      </c>
      <c r="E266" s="20" t="inlineStr">
        <is>
          <t>Entoure a) -34</t>
        </is>
      </c>
      <c r="F266" s="20" t="inlineStr">
        <is>
          <t>L'élève croit que le signe - de certains termes s'applique à toute la somme : la règle d'addition des relatifs est fausse.</t>
        </is>
      </c>
    </row>
    <row r="267">
      <c r="A267" s="22" t="inlineStr">
        <is>
          <t>4eme</t>
        </is>
      </c>
      <c r="B267" s="23" t="inlineStr">
        <is>
          <t>N2</t>
        </is>
      </c>
      <c r="C267" s="22" t="inlineStr">
        <is>
          <t>N.RELOP</t>
        </is>
      </c>
      <c r="D267" s="23" t="inlineStr">
        <is>
          <t>PRC</t>
        </is>
      </c>
      <c r="E267" s="22" t="inlineStr">
        <is>
          <t>Entoure b) +4</t>
        </is>
      </c>
      <c r="F267" s="22" t="inlineStr">
        <is>
          <t>La démarche par étapes est juste mais le signe du résultat final de 7 + (-11) est perdu.</t>
        </is>
      </c>
    </row>
    <row r="268">
      <c r="A268" s="20" t="inlineStr">
        <is>
          <t>4eme</t>
        </is>
      </c>
      <c r="B268" s="21" t="inlineStr">
        <is>
          <t>N2</t>
        </is>
      </c>
      <c r="C268" s="20" t="inlineStr">
        <is>
          <t>N.RELOP</t>
        </is>
      </c>
      <c r="D268" s="21" t="inlineStr">
        <is>
          <t>CNS</t>
        </is>
      </c>
      <c r="E268" s="20" t="inlineStr">
        <is>
          <t>Entoure d) +34</t>
        </is>
      </c>
      <c r="F268" s="20" t="inlineStr">
        <is>
          <t>La règle d'addition de relatifs de signes contraires n'est pas disponible : les nombres sont additionnés comme des naturels.</t>
        </is>
      </c>
    </row>
    <row r="269">
      <c r="A269" s="22" t="inlineStr">
        <is>
          <t>4eme</t>
        </is>
      </c>
      <c r="B269" s="23" t="inlineStr">
        <is>
          <t>N3</t>
        </is>
      </c>
      <c r="C269" s="22" t="inlineStr">
        <is>
          <t>N.FRA2</t>
        </is>
      </c>
      <c r="D269" s="23" t="inlineStr">
        <is>
          <t>CPT</t>
        </is>
      </c>
      <c r="E269" s="22" t="inlineStr">
        <is>
          <t>Ecrit -1 (5 - 3 = 2 sur 6 - 8 = -2), ou 1 si l'élève calcule 8 - 6</t>
        </is>
      </c>
      <c r="F269" s="22" t="inlineStr">
        <is>
          <t>Numérateurs et dénominateurs sont soustraits terme à terme : la règle de la somme de fractions est fausse.</t>
        </is>
      </c>
    </row>
    <row r="270">
      <c r="A270" s="20" t="inlineStr">
        <is>
          <t>4eme</t>
        </is>
      </c>
      <c r="B270" s="21" t="inlineStr">
        <is>
          <t>N3</t>
        </is>
      </c>
      <c r="C270" s="20" t="inlineStr">
        <is>
          <t>N.FRA2</t>
        </is>
      </c>
      <c r="D270" s="21" t="inlineStr">
        <is>
          <t>PRQ</t>
        </is>
      </c>
      <c r="E270" s="20" t="inlineStr">
        <is>
          <t>Ecrit 2/24</t>
        </is>
      </c>
      <c r="F270" s="20" t="inlineStr">
        <is>
          <t>Le dénominateur commun 24 est trouvé mais les numérateurs ne sont pas multipliés : l'égalité de fractions (6ème, multiplier numérateur et dénominateur par un même nombre) n'est pas acquise.</t>
        </is>
      </c>
    </row>
    <row r="271">
      <c r="A271" s="22" t="inlineStr">
        <is>
          <t>4eme</t>
        </is>
      </c>
      <c r="B271" s="23" t="inlineStr">
        <is>
          <t>N3</t>
        </is>
      </c>
      <c r="C271" s="22" t="inlineStr">
        <is>
          <t>N.FRA2</t>
        </is>
      </c>
      <c r="D271" s="23" t="inlineStr">
        <is>
          <t>PRC</t>
        </is>
      </c>
      <c r="E271" s="22" t="inlineStr">
        <is>
          <t>Ecrit 22/48</t>
        </is>
      </c>
      <c r="F271" s="22" t="inlineStr">
        <is>
          <t>Le dénominateur 48 (6 × 8) mène à 40/48 - 18/48 = 22/48, juste mais non simplifié : l'étape de réduction est omise.</t>
        </is>
      </c>
    </row>
    <row r="272">
      <c r="A272" s="20" t="inlineStr">
        <is>
          <t>4eme</t>
        </is>
      </c>
      <c r="B272" s="21" t="inlineStr">
        <is>
          <t>N4</t>
        </is>
      </c>
      <c r="C272" s="20" t="inlineStr">
        <is>
          <t>N.PUI</t>
        </is>
      </c>
      <c r="D272" s="21" t="inlineStr">
        <is>
          <t>CPT</t>
        </is>
      </c>
      <c r="E272" s="20" t="inlineStr">
        <is>
          <t>Ecrit 3⁹</t>
        </is>
      </c>
      <c r="F272" s="20" t="inlineStr">
        <is>
          <t>Les exposants du produit sont multipliés (7 × 2 = 14) au lieu d'être additionnés, puis 14 - 5 = 9.</t>
        </is>
      </c>
    </row>
    <row r="273">
      <c r="A273" s="22" t="inlineStr">
        <is>
          <t>4eme</t>
        </is>
      </c>
      <c r="B273" s="23" t="inlineStr">
        <is>
          <t>N4</t>
        </is>
      </c>
      <c r="C273" s="22" t="inlineStr">
        <is>
          <t>N.PUI</t>
        </is>
      </c>
      <c r="D273" s="23" t="inlineStr">
        <is>
          <t>CNS</t>
        </is>
      </c>
      <c r="E273" s="22" t="inlineStr">
        <is>
          <t>Ecrit 3⁹ / 3⁵ sans aller plus loin</t>
        </is>
      </c>
      <c r="F273" s="22" t="inlineStr">
        <is>
          <t>La règle du produit est connue mais celle du quotient de puissances de même base n'est pas disponible.</t>
        </is>
      </c>
    </row>
    <row r="274">
      <c r="A274" s="20" t="inlineStr">
        <is>
          <t>4eme</t>
        </is>
      </c>
      <c r="B274" s="21" t="inlineStr">
        <is>
          <t>N4</t>
        </is>
      </c>
      <c r="C274" s="20" t="inlineStr">
        <is>
          <t>N.PUI</t>
        </is>
      </c>
      <c r="D274" s="21" t="inlineStr">
        <is>
          <t>ATT</t>
        </is>
      </c>
      <c r="E274" s="20" t="inlineStr">
        <is>
          <t>Ecrit 81</t>
        </is>
      </c>
      <c r="F274" s="20" t="inlineStr">
        <is>
          <t>Le calcul est juste (3⁴ = 81) mais la forme demandée, une puissance de 3, n'est pas respectée.</t>
        </is>
      </c>
    </row>
    <row r="275">
      <c r="A275" s="22" t="inlineStr">
        <is>
          <t>4eme</t>
        </is>
      </c>
      <c r="B275" s="23" t="inlineStr">
        <is>
          <t>N5</t>
        </is>
      </c>
      <c r="C275" s="22" t="inlineStr">
        <is>
          <t>N.VAB</t>
        </is>
      </c>
      <c r="D275" s="23" t="inlineStr">
        <is>
          <t>CNS</t>
        </is>
      </c>
      <c r="E275" s="22" t="inlineStr">
        <is>
          <t>Ecrit |-8| ; -7,2 ; -|-3| ; 6,5</t>
        </is>
      </c>
      <c r="F275" s="22" t="inlineStr">
        <is>
          <t>La valeur absolue n'est pas disponible : |-8| est lu -8 et -|-3| est lu 3.</t>
        </is>
      </c>
    </row>
    <row r="276">
      <c r="A276" s="20" t="inlineStr">
        <is>
          <t>4eme</t>
        </is>
      </c>
      <c r="B276" s="21" t="inlineStr">
        <is>
          <t>N5</t>
        </is>
      </c>
      <c r="C276" s="20" t="inlineStr">
        <is>
          <t>N.VAB</t>
        </is>
      </c>
      <c r="D276" s="21" t="inlineStr">
        <is>
          <t>CPT</t>
        </is>
      </c>
      <c r="E276" s="20" t="inlineStr">
        <is>
          <t>Ecrit -|-3| ; -7,2 ; 6,5 ; |-8|</t>
        </is>
      </c>
      <c r="F276" s="20" t="inlineStr">
        <is>
          <t>Les négatifs sont comparés par leur distance à zéro : l'élève croit -7,2 plus grand que -3.</t>
        </is>
      </c>
    </row>
    <row r="277">
      <c r="A277" s="22" t="inlineStr">
        <is>
          <t>4eme</t>
        </is>
      </c>
      <c r="B277" s="23" t="inlineStr">
        <is>
          <t>N5</t>
        </is>
      </c>
      <c r="C277" s="22" t="inlineStr">
        <is>
          <t>N.VAB</t>
        </is>
      </c>
      <c r="D277" s="23" t="inlineStr">
        <is>
          <t>ATT</t>
        </is>
      </c>
      <c r="E277" s="22" t="inlineStr">
        <is>
          <t>Ecrit |-8| ; 6,5 ; -|-3| ; -7,2</t>
        </is>
      </c>
      <c r="F277" s="22" t="inlineStr">
        <is>
          <t>Le rangement est juste mais dans l'ordre décroissant : la consigne « croissant » est mal lue.</t>
        </is>
      </c>
    </row>
    <row r="278">
      <c r="A278" s="20" t="inlineStr">
        <is>
          <t>4eme</t>
        </is>
      </c>
      <c r="B278" s="21" t="inlineStr">
        <is>
          <t>N6</t>
        </is>
      </c>
      <c r="C278" s="20" t="inlineStr">
        <is>
          <t>N.PGCD</t>
        </is>
      </c>
      <c r="D278" s="21" t="inlineStr">
        <is>
          <t>CPT</t>
        </is>
      </c>
      <c r="E278" s="20" t="inlineStr">
        <is>
          <t>Ecrit 3</t>
        </is>
      </c>
      <c r="F278" s="20" t="inlineStr">
        <is>
          <t>Le PGCD de 15 et 18 est donné à la place du PPCM : les deux notions sont confondues.</t>
        </is>
      </c>
    </row>
    <row r="279">
      <c r="A279" s="22" t="inlineStr">
        <is>
          <t>4eme</t>
        </is>
      </c>
      <c r="B279" s="23" t="inlineStr">
        <is>
          <t>N6</t>
        </is>
      </c>
      <c r="C279" s="22" t="inlineStr">
        <is>
          <t>N.PGCD</t>
        </is>
      </c>
      <c r="D279" s="23" t="inlineStr">
        <is>
          <t>CNS</t>
        </is>
      </c>
      <c r="E279" s="22" t="inlineStr">
        <is>
          <t>Ecrit 270</t>
        </is>
      </c>
      <c r="F279" s="22" t="inlineStr">
        <is>
          <t>Le produit 15 × 18 est pris pour le PPCM : la méthode de calcul du PPCM n'est pas disponible.</t>
        </is>
      </c>
    </row>
    <row r="280">
      <c r="A280" s="20" t="inlineStr">
        <is>
          <t>4eme</t>
        </is>
      </c>
      <c r="B280" s="21" t="inlineStr">
        <is>
          <t>N6</t>
        </is>
      </c>
      <c r="C280" s="20" t="inlineStr">
        <is>
          <t>N.PGCD</t>
        </is>
      </c>
      <c r="D280" s="21" t="inlineStr">
        <is>
          <t>PRC</t>
        </is>
      </c>
      <c r="E280" s="20" t="inlineStr">
        <is>
          <t>Ecrit 180</t>
        </is>
      </c>
      <c r="F280" s="20" t="inlineStr">
        <is>
          <t>Un multiple commun est trouvé par la liste des multiples, mais 90, plus petit, est sauté.</t>
        </is>
      </c>
    </row>
    <row r="281">
      <c r="A281" s="22" t="inlineStr">
        <is>
          <t>4eme</t>
        </is>
      </c>
      <c r="B281" s="23" t="inlineStr">
        <is>
          <t>N7</t>
        </is>
      </c>
      <c r="C281" s="22" t="inlineStr">
        <is>
          <t>L.DEV1</t>
        </is>
      </c>
      <c r="D281" s="23" t="inlineStr">
        <is>
          <t>CPT</t>
        </is>
      </c>
      <c r="E281" s="22" t="inlineStr">
        <is>
          <t>Ecrit 35x</t>
        </is>
      </c>
      <c r="F281" s="22" t="inlineStr">
        <is>
          <t>Les termes 14x et 21, non semblables, sont additionnés : terme en x et terme constant sont confondus.</t>
        </is>
      </c>
    </row>
    <row r="282">
      <c r="A282" s="20" t="inlineStr">
        <is>
          <t>4eme</t>
        </is>
      </c>
      <c r="B282" s="21" t="inlineStr">
        <is>
          <t>N7</t>
        </is>
      </c>
      <c r="C282" s="20" t="inlineStr">
        <is>
          <t>L.DEV1</t>
        </is>
      </c>
      <c r="D282" s="21" t="inlineStr">
        <is>
          <t>PRC</t>
        </is>
      </c>
      <c r="E282" s="20" t="inlineStr">
        <is>
          <t>Ecrit 7(2x + 21)</t>
        </is>
      </c>
      <c r="F282" s="20" t="inlineStr">
        <is>
          <t>Le facteur commun 7 est bien repéré mais il n'est retiré que du premier terme.</t>
        </is>
      </c>
    </row>
    <row r="283">
      <c r="A283" s="22" t="inlineStr">
        <is>
          <t>4eme</t>
        </is>
      </c>
      <c r="B283" s="23" t="inlineStr">
        <is>
          <t>N7</t>
        </is>
      </c>
      <c r="C283" s="22" t="inlineStr">
        <is>
          <t>L.DEV1</t>
        </is>
      </c>
      <c r="D283" s="23" t="inlineStr">
        <is>
          <t>CNS</t>
        </is>
      </c>
      <c r="E283" s="22" t="inlineStr">
        <is>
          <t>Ecrit 7 × 2x + 7 × 3 sans mise en facteur</t>
        </is>
      </c>
      <c r="F283" s="22" t="inlineStr">
        <is>
          <t>Le facteur commun est vu mais l'écriture factorisée k(a + b) n'est pas disponible.</t>
        </is>
      </c>
    </row>
    <row r="284">
      <c r="A284" s="20" t="inlineStr">
        <is>
          <t>4eme</t>
        </is>
      </c>
      <c r="B284" s="21" t="inlineStr">
        <is>
          <t>L1</t>
        </is>
      </c>
      <c r="C284" s="20" t="inlineStr">
        <is>
          <t>L.EGA</t>
        </is>
      </c>
      <c r="D284" s="21" t="inlineStr">
        <is>
          <t>CPT</t>
        </is>
      </c>
      <c r="E284" s="20" t="inlineStr">
        <is>
          <t>Entoure a) ajouter 5</t>
        </is>
      </c>
      <c r="F284" s="20" t="inlineStr">
        <is>
          <t>La fraction x/5 est lue comme une différence : l'opération réciproque est cherchée dans la mauvaise famille.</t>
        </is>
      </c>
    </row>
    <row r="285">
      <c r="A285" s="22" t="inlineStr">
        <is>
          <t>4eme</t>
        </is>
      </c>
      <c r="B285" s="23" t="inlineStr">
        <is>
          <t>L1</t>
        </is>
      </c>
      <c r="C285" s="22" t="inlineStr">
        <is>
          <t>L.EGA</t>
        </is>
      </c>
      <c r="D285" s="23" t="inlineStr">
        <is>
          <t>CNS</t>
        </is>
      </c>
      <c r="E285" s="22" t="inlineStr">
        <is>
          <t>Entoure b) soustraire 5</t>
        </is>
      </c>
      <c r="F285" s="22" t="inlineStr">
        <is>
          <t>Les règles de transformation d'une égalité ne sont pas disponibles : la réponse n'est contrôlée par aucun calcul.</t>
        </is>
      </c>
    </row>
    <row r="286">
      <c r="A286" s="20" t="inlineStr">
        <is>
          <t>4eme</t>
        </is>
      </c>
      <c r="B286" s="21" t="inlineStr">
        <is>
          <t>L1</t>
        </is>
      </c>
      <c r="C286" s="20" t="inlineStr">
        <is>
          <t>L.EGA</t>
        </is>
      </c>
      <c r="D286" s="21" t="inlineStr">
        <is>
          <t>CPT</t>
        </is>
      </c>
      <c r="E286" s="20" t="inlineStr">
        <is>
          <t>Entoure c) diviser par 5</t>
        </is>
      </c>
      <c r="F286" s="20" t="inlineStr">
        <is>
          <t>L'idée d'opération inverse n'est pas construite : l'élève refait l'opération présente dans l'égalité.</t>
        </is>
      </c>
    </row>
    <row r="287">
      <c r="A287" s="22" t="inlineStr">
        <is>
          <t>4eme</t>
        </is>
      </c>
      <c r="B287" s="23" t="inlineStr">
        <is>
          <t>L2</t>
        </is>
      </c>
      <c r="C287" s="22" t="inlineStr">
        <is>
          <t>L.EQD</t>
        </is>
      </c>
      <c r="D287" s="23" t="inlineStr">
        <is>
          <t>PRC</t>
        </is>
      </c>
      <c r="E287" s="22" t="inlineStr">
        <is>
          <t>Ecrit x = 1,5</t>
        </is>
      </c>
      <c r="F287" s="22" t="inlineStr">
        <is>
          <t>Le -9 est retiré au lieu d'être compensé : 4x = 15 - 9 = 6, puis 6 / 4 = 1,5. Erreur de signe dans une démarche juste.</t>
        </is>
      </c>
    </row>
    <row r="288">
      <c r="A288" s="20" t="inlineStr">
        <is>
          <t>4eme</t>
        </is>
      </c>
      <c r="B288" s="21" t="inlineStr">
        <is>
          <t>L2</t>
        </is>
      </c>
      <c r="C288" s="20" t="inlineStr">
        <is>
          <t>L.EQD</t>
        </is>
      </c>
      <c r="D288" s="21" t="inlineStr">
        <is>
          <t>PRC</t>
        </is>
      </c>
      <c r="E288" s="20" t="inlineStr">
        <is>
          <t>Ecrit x = 24</t>
        </is>
      </c>
      <c r="F288" s="20" t="inlineStr">
        <is>
          <t>4x = 24 est juste mais la division des deux membres par 4 est omise : 4x est confondu avec x en fin de calcul.</t>
        </is>
      </c>
    </row>
    <row r="289">
      <c r="A289" s="22" t="inlineStr">
        <is>
          <t>4eme</t>
        </is>
      </c>
      <c r="B289" s="23" t="inlineStr">
        <is>
          <t>L2</t>
        </is>
      </c>
      <c r="C289" s="22" t="inlineStr">
        <is>
          <t>L.EQD</t>
        </is>
      </c>
      <c r="D289" s="23" t="inlineStr">
        <is>
          <t>CPT</t>
        </is>
      </c>
      <c r="E289" s="22" t="inlineStr">
        <is>
          <t>Ecrit x = 96</t>
        </is>
      </c>
      <c r="F289" s="22" t="inlineStr">
        <is>
          <t>Le passage de 4x = 24 à x se fait en multipliant par 4 : l'opération inverse de la multiplication n'est pas comprise.</t>
        </is>
      </c>
    </row>
    <row r="290">
      <c r="A290" s="20" t="inlineStr">
        <is>
          <t>4eme</t>
        </is>
      </c>
      <c r="B290" s="21" t="inlineStr">
        <is>
          <t>G1</t>
        </is>
      </c>
      <c r="C290" s="20" t="inlineStr">
        <is>
          <t>G.ANG3</t>
        </is>
      </c>
      <c r="D290" s="21" t="inlineStr">
        <is>
          <t>CPT</t>
        </is>
      </c>
      <c r="E290" s="20" t="inlineStr">
        <is>
          <t>Ecrit 64°</t>
        </is>
      </c>
      <c r="F290" s="20" t="inlineStr">
        <is>
          <t>Le supplémentaire 180° - 116° est donné : angles correspondants et angles supplémentaires sont confondus.</t>
        </is>
      </c>
    </row>
    <row r="291">
      <c r="A291" s="22" t="inlineStr">
        <is>
          <t>4eme</t>
        </is>
      </c>
      <c r="B291" s="23" t="inlineStr">
        <is>
          <t>G1</t>
        </is>
      </c>
      <c r="C291" s="22" t="inlineStr">
        <is>
          <t>G.ANG3</t>
        </is>
      </c>
      <c r="D291" s="23" t="inlineStr">
        <is>
          <t>CNS</t>
        </is>
      </c>
      <c r="E291" s="22" t="inlineStr">
        <is>
          <t>Ecrit « on ne peut pas savoir » ou ne répond pas</t>
        </is>
      </c>
      <c r="F291" s="22" t="inlineStr">
        <is>
          <t>La propriété des angles correspondants formés par deux parallèles et une sécante n'est pas disponible.</t>
        </is>
      </c>
    </row>
    <row r="292">
      <c r="A292" s="20" t="inlineStr">
        <is>
          <t>4eme</t>
        </is>
      </c>
      <c r="B292" s="21" t="inlineStr">
        <is>
          <t>G2</t>
        </is>
      </c>
      <c r="C292" s="20" t="inlineStr">
        <is>
          <t>G.TRIP</t>
        </is>
      </c>
      <c r="D292" s="21" t="inlineStr">
        <is>
          <t>CNS</t>
        </is>
      </c>
      <c r="E292" s="20" t="inlineStr">
        <is>
          <t>Entoure a) 44°</t>
        </is>
      </c>
      <c r="F292" s="20" t="inlineStr">
        <is>
          <t>Aucune propriété du triangle n'est mobilisée : la seule mesure lue dans l'énoncé est recopiée.</t>
        </is>
      </c>
    </row>
    <row r="293">
      <c r="A293" s="22" t="inlineStr">
        <is>
          <t>4eme</t>
        </is>
      </c>
      <c r="B293" s="23" t="inlineStr">
        <is>
          <t>G2</t>
        </is>
      </c>
      <c r="C293" s="22" t="inlineStr">
        <is>
          <t>G.TRIP</t>
        </is>
      </c>
      <c r="D293" s="23" t="inlineStr">
        <is>
          <t>PRC</t>
        </is>
      </c>
      <c r="E293" s="22" t="inlineStr">
        <is>
          <t>Entoure b) 136°</t>
        </is>
      </c>
      <c r="F293" s="22" t="inlineStr">
        <is>
          <t>La somme des angles est bien utilisée mais l'étape du partage en deux angles égaux est oubliée.</t>
        </is>
      </c>
    </row>
    <row r="294">
      <c r="A294" s="20" t="inlineStr">
        <is>
          <t>4eme</t>
        </is>
      </c>
      <c r="B294" s="21" t="inlineStr">
        <is>
          <t>G2</t>
        </is>
      </c>
      <c r="C294" s="20" t="inlineStr">
        <is>
          <t>G.TRIP</t>
        </is>
      </c>
      <c r="D294" s="21" t="inlineStr">
        <is>
          <t>CPT</t>
        </is>
      </c>
      <c r="E294" s="20" t="inlineStr">
        <is>
          <t>Entoure c) 92°</t>
        </is>
      </c>
      <c r="F294" s="20" t="inlineStr">
        <is>
          <t>« Isocèle en M » n'est pas compris : l'élève croit que l'angle en M est l'un des deux angles égaux.</t>
        </is>
      </c>
    </row>
    <row r="295">
      <c r="A295" s="22" t="inlineStr">
        <is>
          <t>4eme</t>
        </is>
      </c>
      <c r="B295" s="23" t="inlineStr">
        <is>
          <t>G3</t>
        </is>
      </c>
      <c r="C295" s="22" t="inlineStr">
        <is>
          <t>G.SYMC</t>
        </is>
      </c>
      <c r="D295" s="23" t="inlineStr">
        <is>
          <t>CPT</t>
        </is>
      </c>
      <c r="E295" s="22" t="inlineStr">
        <is>
          <t>Ecrit A'B' = 5,4 cm et A'B'C' = 117°</t>
        </is>
      </c>
      <c r="F295" s="22" t="inlineStr">
        <is>
          <t>L'élève croit que la symétrie centrale « retourne » l'angle en son supplémentaire (180° - 63°).</t>
        </is>
      </c>
    </row>
    <row r="296">
      <c r="A296" s="20" t="inlineStr">
        <is>
          <t>4eme</t>
        </is>
      </c>
      <c r="B296" s="21" t="inlineStr">
        <is>
          <t>G3</t>
        </is>
      </c>
      <c r="C296" s="20" t="inlineStr">
        <is>
          <t>G.SYMC</t>
        </is>
      </c>
      <c r="D296" s="21" t="inlineStr">
        <is>
          <t>CPT</t>
        </is>
      </c>
      <c r="E296" s="20" t="inlineStr">
        <is>
          <t>Ecrit A'B' = 10,8 cm et A'B'C' = 63°</t>
        </is>
      </c>
      <c r="F296" s="20" t="inlineStr">
        <is>
          <t>La symétrie centrale est confondue avec un agrandissement : la longueur est doublée.</t>
        </is>
      </c>
    </row>
    <row r="297">
      <c r="A297" s="22" t="inlineStr">
        <is>
          <t>4eme</t>
        </is>
      </c>
      <c r="B297" s="23" t="inlineStr">
        <is>
          <t>G3</t>
        </is>
      </c>
      <c r="C297" s="22" t="inlineStr">
        <is>
          <t>G.SYMC</t>
        </is>
      </c>
      <c r="D297" s="23" t="inlineStr">
        <is>
          <t>CNS</t>
        </is>
      </c>
      <c r="E297" s="22" t="inlineStr">
        <is>
          <t>Ecrit A'B' = 5,4 cm sans donner l'angle</t>
        </is>
      </c>
      <c r="F297" s="22" t="inlineStr">
        <is>
          <t>La conservation des longueurs est connue mais la conservation des angles n'est pas disponible.</t>
        </is>
      </c>
    </row>
    <row r="298">
      <c r="A298" s="20" t="inlineStr">
        <is>
          <t>4eme</t>
        </is>
      </c>
      <c r="B298" s="21" t="inlineStr">
        <is>
          <t>G4</t>
        </is>
      </c>
      <c r="C298" s="20" t="inlineStr">
        <is>
          <t>M.VOL</t>
        </is>
      </c>
      <c r="D298" s="21" t="inlineStr">
        <is>
          <t>CNS</t>
        </is>
      </c>
      <c r="E298" s="20" t="inlineStr">
        <is>
          <t>Entoure b) 63π cm³</t>
        </is>
      </c>
      <c r="F298" s="20" t="inlineStr">
        <is>
          <t>La formule du cône n'est pas mobilisée : celle du cylindre la remplace, sans le facteur 1/3.</t>
        </is>
      </c>
    </row>
    <row r="299">
      <c r="A299" s="22" t="inlineStr">
        <is>
          <t>4eme</t>
        </is>
      </c>
      <c r="B299" s="23" t="inlineStr">
        <is>
          <t>G4</t>
        </is>
      </c>
      <c r="C299" s="22" t="inlineStr">
        <is>
          <t>M.VOL</t>
        </is>
      </c>
      <c r="D299" s="23" t="inlineStr">
        <is>
          <t>CPT</t>
        </is>
      </c>
      <c r="E299" s="22" t="inlineStr">
        <is>
          <t>Entoure c) 49π cm³</t>
        </is>
      </c>
      <c r="F299" s="22" t="inlineStr">
        <is>
          <t>Les rôles du rayon et de la hauteur dans la formule sont confondus.</t>
        </is>
      </c>
    </row>
    <row r="300">
      <c r="A300" s="20" t="inlineStr">
        <is>
          <t>4eme</t>
        </is>
      </c>
      <c r="B300" s="21" t="inlineStr">
        <is>
          <t>G4</t>
        </is>
      </c>
      <c r="C300" s="20" t="inlineStr">
        <is>
          <t>M.VOL</t>
        </is>
      </c>
      <c r="D300" s="21" t="inlineStr">
        <is>
          <t>PRC</t>
        </is>
      </c>
      <c r="E300" s="20" t="inlineStr">
        <is>
          <t>Entoure d) 7π cm³</t>
        </is>
      </c>
      <c r="F300" s="20" t="inlineStr">
        <is>
          <t>La bonne formule est choisie mais le carré du rayon est omis dans l'exécution.</t>
        </is>
      </c>
    </row>
    <row r="301">
      <c r="A301" s="22" t="inlineStr">
        <is>
          <t>4eme</t>
        </is>
      </c>
      <c r="B301" s="23" t="inlineStr">
        <is>
          <t>M1</t>
        </is>
      </c>
      <c r="C301" s="22" t="inlineStr">
        <is>
          <t>M.MVD</t>
        </is>
      </c>
      <c r="D301" s="23" t="inlineStr">
        <is>
          <t>CPT</t>
        </is>
      </c>
      <c r="E301" s="22" t="inlineStr">
        <is>
          <t>Entoure a) 54 km/h</t>
        </is>
      </c>
      <c r="F301" s="22" t="inlineStr">
        <is>
          <t>La vitesse est vue comme un produit distance × durée : le sens de la grandeur quotient n'est pas compris.</t>
        </is>
      </c>
    </row>
    <row r="302">
      <c r="A302" s="20" t="inlineStr">
        <is>
          <t>4eme</t>
        </is>
      </c>
      <c r="B302" s="21" t="inlineStr">
        <is>
          <t>M1</t>
        </is>
      </c>
      <c r="C302" s="20" t="inlineStr">
        <is>
          <t>M.MVD</t>
        </is>
      </c>
      <c r="D302" s="21" t="inlineStr">
        <is>
          <t>CNS</t>
        </is>
      </c>
      <c r="E302" s="20" t="inlineStr">
        <is>
          <t>Entoure b) 36 km/h</t>
        </is>
      </c>
      <c r="F302" s="20" t="inlineStr">
        <is>
          <t>La formule de la vitesse moyenne n'est pas disponible : la distance lue est recopiée.</t>
        </is>
      </c>
    </row>
    <row r="303">
      <c r="A303" s="22" t="inlineStr">
        <is>
          <t>4eme</t>
        </is>
      </c>
      <c r="B303" s="23" t="inlineStr">
        <is>
          <t>M1</t>
        </is>
      </c>
      <c r="C303" s="22" t="inlineStr">
        <is>
          <t>M.MVD</t>
        </is>
      </c>
      <c r="D303" s="23" t="inlineStr">
        <is>
          <t>PRC</t>
        </is>
      </c>
      <c r="E303" s="22" t="inlineStr">
        <is>
          <t>Entoure d) 18 km/h</t>
        </is>
      </c>
      <c r="F303" s="22" t="inlineStr">
        <is>
          <t>La division est bien choisie mais la conversion de 1 h 30 min en 1,5 h échoue.</t>
        </is>
      </c>
    </row>
    <row r="304">
      <c r="A304" s="20" t="inlineStr">
        <is>
          <t>4eme</t>
        </is>
      </c>
      <c r="B304" s="21" t="inlineStr">
        <is>
          <t>M2</t>
        </is>
      </c>
      <c r="C304" s="20" t="inlineStr">
        <is>
          <t>M.ECH</t>
        </is>
      </c>
      <c r="D304" s="21" t="inlineStr">
        <is>
          <t>PRQ</t>
        </is>
      </c>
      <c r="E304" s="20" t="inlineStr">
        <is>
          <t>Ecrit 2 000 km</t>
        </is>
      </c>
      <c r="F304" s="20" t="inlineStr">
        <is>
          <t>8 × 250 000 = 2 000 000 est juste mais les centimètres sont divisés par 1 000 comme des mètres : la conversion des unités de longueur (primaire et 6ème) n'est pas acquise.</t>
        </is>
      </c>
    </row>
    <row r="305">
      <c r="A305" s="22" t="inlineStr">
        <is>
          <t>4eme</t>
        </is>
      </c>
      <c r="B305" s="23" t="inlineStr">
        <is>
          <t>M2</t>
        </is>
      </c>
      <c r="C305" s="22" t="inlineStr">
        <is>
          <t>M.ECH</t>
        </is>
      </c>
      <c r="D305" s="23" t="inlineStr">
        <is>
          <t>CPT</t>
        </is>
      </c>
      <c r="E305" s="22" t="inlineStr">
        <is>
          <t>Ecrit 0,000032</t>
        </is>
      </c>
      <c r="F305" s="22" t="inlineStr">
        <is>
          <t>8 est divisé par 250 000 : le sens de l'échelle (réel = plan × 250 000) est inversé.</t>
        </is>
      </c>
    </row>
    <row r="306">
      <c r="A306" s="20" t="inlineStr">
        <is>
          <t>4eme</t>
        </is>
      </c>
      <c r="B306" s="21" t="inlineStr">
        <is>
          <t>M2</t>
        </is>
      </c>
      <c r="C306" s="20" t="inlineStr">
        <is>
          <t>M.ECH</t>
        </is>
      </c>
      <c r="D306" s="21" t="inlineStr">
        <is>
          <t>PRC</t>
        </is>
      </c>
      <c r="E306" s="20" t="inlineStr">
        <is>
          <t>Ecrit 2 000 000 km</t>
        </is>
      </c>
      <c r="F306" s="20" t="inlineStr">
        <is>
          <t>Le produit est juste mais la conversion en kilomètres est omise : l'unité est recopiée sans calcul.</t>
        </is>
      </c>
    </row>
    <row r="307">
      <c r="A307" s="22" t="inlineStr">
        <is>
          <t>4eme</t>
        </is>
      </c>
      <c r="B307" s="23" t="inlineStr">
        <is>
          <t>D1</t>
        </is>
      </c>
      <c r="C307" s="22" t="inlineStr">
        <is>
          <t>D.POUR</t>
        </is>
      </c>
      <c r="D307" s="23" t="inlineStr">
        <is>
          <t>MOD</t>
        </is>
      </c>
      <c r="E307" s="22" t="inlineStr">
        <is>
          <t>Entoure a) 2 400 FCFA</t>
        </is>
      </c>
      <c r="F307" s="22" t="inlineStr">
        <is>
          <t>Le calcul du pourcentage est juste mais la question (le nouveau prix) n'est pas traduite jusqu'au bout.</t>
        </is>
      </c>
    </row>
    <row r="308">
      <c r="A308" s="20" t="inlineStr">
        <is>
          <t>4eme</t>
        </is>
      </c>
      <c r="B308" s="21" t="inlineStr">
        <is>
          <t>D1</t>
        </is>
      </c>
      <c r="C308" s="20" t="inlineStr">
        <is>
          <t>D.POUR</t>
        </is>
      </c>
      <c r="D308" s="21" t="inlineStr">
        <is>
          <t>PRC</t>
        </is>
      </c>
      <c r="E308" s="20" t="inlineStr">
        <is>
          <t>Entoure c) 13 600 FCFA</t>
        </is>
      </c>
      <c r="F308" s="20" t="inlineStr">
        <is>
          <t>La bonne démarche est menée mais l'augmentation est appliquée avec le mauvais signe.</t>
        </is>
      </c>
    </row>
    <row r="309">
      <c r="A309" s="22" t="inlineStr">
        <is>
          <t>4eme</t>
        </is>
      </c>
      <c r="B309" s="23" t="inlineStr">
        <is>
          <t>D1</t>
        </is>
      </c>
      <c r="C309" s="22" t="inlineStr">
        <is>
          <t>D.POUR</t>
        </is>
      </c>
      <c r="D309" s="23" t="inlineStr">
        <is>
          <t>CPT</t>
        </is>
      </c>
      <c r="E309" s="22" t="inlineStr">
        <is>
          <t>Entoure d) 24 000 FCFA</t>
        </is>
      </c>
      <c r="F309" s="22" t="inlineStr">
        <is>
          <t>« Pour cent » n'est pas compris comme un rapport à 100 : 15 % est lu comme 1,5.</t>
        </is>
      </c>
    </row>
    <row r="310">
      <c r="A310" s="20" t="inlineStr">
        <is>
          <t>4eme</t>
        </is>
      </c>
      <c r="B310" s="21" t="inlineStr">
        <is>
          <t>N8</t>
        </is>
      </c>
      <c r="C310" s="20" t="inlineStr">
        <is>
          <t>N.DIVIS</t>
        </is>
      </c>
      <c r="D310" s="21" t="inlineStr">
        <is>
          <t>PRC</t>
        </is>
      </c>
      <c r="E310" s="20" t="inlineStr">
        <is>
          <t>Ecrit a = 6 seulement</t>
        </is>
      </c>
      <c r="F310" s="20" t="inlineStr">
        <is>
          <t>Les deux critères sont bien posés mais la recherche des cas est incomplète : a = 0 est oublié.</t>
        </is>
      </c>
    </row>
    <row r="311">
      <c r="A311" s="22" t="inlineStr">
        <is>
          <t>4eme</t>
        </is>
      </c>
      <c r="B311" s="23" t="inlineStr">
        <is>
          <t>N8</t>
        </is>
      </c>
      <c r="C311" s="22" t="inlineStr">
        <is>
          <t>N.DIVIS</t>
        </is>
      </c>
      <c r="D311" s="23" t="inlineStr">
        <is>
          <t>CNS</t>
        </is>
      </c>
      <c r="E311" s="22" t="inlineStr">
        <is>
          <t>Ecrit a = 0 ; 2 ; 4 ; 6 ; 8</t>
        </is>
      </c>
      <c r="F311" s="22" t="inlineStr">
        <is>
          <t>Seul le critère de 2 est mobilisé : le critère de divisibilité par 3 (somme des chiffres 6 + a) n'est pas disponible.</t>
        </is>
      </c>
    </row>
    <row r="312">
      <c r="A312" s="20" t="inlineStr">
        <is>
          <t>4eme</t>
        </is>
      </c>
      <c r="B312" s="21" t="inlineStr">
        <is>
          <t>N8</t>
        </is>
      </c>
      <c r="C312" s="20" t="inlineStr">
        <is>
          <t>N.DIVIS</t>
        </is>
      </c>
      <c r="D312" s="21" t="inlineStr">
        <is>
          <t>CPT</t>
        </is>
      </c>
      <c r="E312" s="20" t="inlineStr">
        <is>
          <t>Ecrit a = 0 ; 2 ; 3 ; 4 ; 6 ; 8 ; 9</t>
        </is>
      </c>
      <c r="F312" s="20" t="inlineStr">
        <is>
          <t>« A la fois par 2 et par 3 » est compris comme « par 2 ou par 3 » : la réunion des cas remplace leur intersection.</t>
        </is>
      </c>
    </row>
    <row r="313">
      <c r="A313" s="22" t="inlineStr">
        <is>
          <t>4eme</t>
        </is>
      </c>
      <c r="B313" s="23" t="inlineStr">
        <is>
          <t>N8</t>
        </is>
      </c>
      <c r="C313" s="22" t="inlineStr">
        <is>
          <t>N.DIVIS</t>
        </is>
      </c>
      <c r="D313" s="23" t="inlineStr">
        <is>
          <t>RED</t>
        </is>
      </c>
      <c r="E313" s="22" t="inlineStr">
        <is>
          <t>Ecrit a = 0 et a = 6 sans énoncer les deux critères</t>
        </is>
      </c>
      <c r="F313" s="22" t="inlineStr">
        <is>
          <t>Le résultat est juste mais aucun critère n'est cité : la justification demandée manque.</t>
        </is>
      </c>
    </row>
    <row r="314">
      <c r="A314" s="20" t="inlineStr">
        <is>
          <t>4eme</t>
        </is>
      </c>
      <c r="B314" s="21" t="inlineStr">
        <is>
          <t>N9</t>
        </is>
      </c>
      <c r="C314" s="20" t="inlineStr">
        <is>
          <t>N.FRA2</t>
        </is>
      </c>
      <c r="D314" s="21" t="inlineStr">
        <is>
          <t>CPT</t>
        </is>
      </c>
      <c r="E314" s="20" t="inlineStr">
        <is>
          <t>Ecrit 810 FCFA</t>
        </is>
      </c>
      <c r="F314" s="20" t="inlineStr">
        <is>
          <t>1 800 × 9/20 = 810 : la fraction est appliquée au lieu d'être remontée (multiplier au lieu de diviser).</t>
        </is>
      </c>
    </row>
    <row r="315">
      <c r="A315" s="22" t="inlineStr">
        <is>
          <t>4eme</t>
        </is>
      </c>
      <c r="B315" s="23" t="inlineStr">
        <is>
          <t>N9</t>
        </is>
      </c>
      <c r="C315" s="22" t="inlineStr">
        <is>
          <t>N.FRA2</t>
        </is>
      </c>
      <c r="D315" s="23" t="inlineStr">
        <is>
          <t>MOD</t>
        </is>
      </c>
      <c r="E315" s="22" t="inlineStr">
        <is>
          <t>Ecrit « 9/20 &lt; 1/2 donc Moussa a tort »</t>
        </is>
      </c>
      <c r="F315" s="22" t="inlineStr">
        <is>
          <t>La fraction restante est prise pour la fraction dépensée : l'énoncé n'est pas traduit correctement.</t>
        </is>
      </c>
    </row>
    <row r="316">
      <c r="A316" s="20" t="inlineStr">
        <is>
          <t>4eme</t>
        </is>
      </c>
      <c r="B316" s="21" t="inlineStr">
        <is>
          <t>N9</t>
        </is>
      </c>
      <c r="C316" s="20" t="inlineStr">
        <is>
          <t>N.FRA2</t>
        </is>
      </c>
      <c r="D316" s="21" t="inlineStr">
        <is>
          <t>PRC</t>
        </is>
      </c>
      <c r="E316" s="20" t="inlineStr">
        <is>
          <t>Ecrit 1 800 × 20 / 9 = 400 FCFA</t>
        </is>
      </c>
      <c r="F316" s="20" t="inlineStr">
        <is>
          <t>La démarche 1 800 × 20/9 est juste mais la division 36 000 / 9 perd un zéro.</t>
        </is>
      </c>
    </row>
    <row r="317">
      <c r="A317" s="22" t="inlineStr">
        <is>
          <t>4eme</t>
        </is>
      </c>
      <c r="B317" s="23" t="inlineStr">
        <is>
          <t>N9</t>
        </is>
      </c>
      <c r="C317" s="22" t="inlineStr">
        <is>
          <t>N.FRA2</t>
        </is>
      </c>
      <c r="D317" s="23" t="inlineStr">
        <is>
          <t>RED</t>
        </is>
      </c>
      <c r="E317" s="22" t="inlineStr">
        <is>
          <t>Ecrit « Moussa a raison » sans comparer 11/20 à 1/2 ni 2 200 à 2 000</t>
        </is>
      </c>
      <c r="F317" s="22" t="inlineStr">
        <is>
          <t>Le jugement est juste mais il n'est appuyé sur aucune comparaison.</t>
        </is>
      </c>
    </row>
    <row r="318">
      <c r="A318" s="20" t="inlineStr">
        <is>
          <t>4eme</t>
        </is>
      </c>
      <c r="B318" s="21" t="inlineStr">
        <is>
          <t>N10</t>
        </is>
      </c>
      <c r="C318" s="20" t="inlineStr">
        <is>
          <t>N.PUI</t>
        </is>
      </c>
      <c r="D318" s="21" t="inlineStr">
        <is>
          <t>CPT</t>
        </is>
      </c>
      <c r="E318" s="20" t="inlineStr">
        <is>
          <t>Ecrit n = 32 (et p = 50)</t>
        </is>
      </c>
      <c r="F318" s="20" t="inlineStr">
        <is>
          <t>2ⁿ est confondu avec 2 × n : 64 / 2 = 32 et 100 / 2 = 50.</t>
        </is>
      </c>
    </row>
    <row r="319">
      <c r="A319" s="22" t="inlineStr">
        <is>
          <t>4eme</t>
        </is>
      </c>
      <c r="B319" s="23" t="inlineStr">
        <is>
          <t>N10</t>
        </is>
      </c>
      <c r="C319" s="22" t="inlineStr">
        <is>
          <t>N.PUI</t>
        </is>
      </c>
      <c r="D319" s="23" t="inlineStr">
        <is>
          <t>PRC</t>
        </is>
      </c>
      <c r="E319" s="22" t="inlineStr">
        <is>
          <t>Ecrit n = 5</t>
        </is>
      </c>
      <c r="F319" s="22" t="inlineStr">
        <is>
          <t>La liste 2 ; 4 ; 8 ; 16 ; 32 ; 64 est juste mais les rangs sont mal comptés.</t>
        </is>
      </c>
    </row>
    <row r="320">
      <c r="A320" s="20" t="inlineStr">
        <is>
          <t>4eme</t>
        </is>
      </c>
      <c r="B320" s="21" t="inlineStr">
        <is>
          <t>N10</t>
        </is>
      </c>
      <c r="C320" s="20" t="inlineStr">
        <is>
          <t>N.PUI</t>
        </is>
      </c>
      <c r="D320" s="21" t="inlineStr">
        <is>
          <t>CNS</t>
        </is>
      </c>
      <c r="E320" s="20" t="inlineStr">
        <is>
          <t>Ecrit p = 10, car 10² = 100</t>
        </is>
      </c>
      <c r="F320" s="20" t="inlineStr">
        <is>
          <t>La définition de la puissance n'est pas disponible : base et exposant sont échangés (10² au lieu de 2¹⁰).</t>
        </is>
      </c>
    </row>
    <row r="321">
      <c r="A321" s="22" t="inlineStr">
        <is>
          <t>4eme</t>
        </is>
      </c>
      <c r="B321" s="23" t="inlineStr">
        <is>
          <t>N10</t>
        </is>
      </c>
      <c r="C321" s="22" t="inlineStr">
        <is>
          <t>N.PUI</t>
        </is>
      </c>
      <c r="D321" s="23" t="inlineStr">
        <is>
          <t>RED</t>
        </is>
      </c>
      <c r="E321" s="22" t="inlineStr">
        <is>
          <t>Ecrit « p n'existe pas » sans l'encadrement 2⁶ &lt; 100 &lt; 2⁷</t>
        </is>
      </c>
      <c r="F321" s="22" t="inlineStr">
        <is>
          <t>La conclusion est juste mais elle n'est pas justifiée par les puissances consécutives 64 et 128.</t>
        </is>
      </c>
    </row>
    <row r="322">
      <c r="A322" s="20" t="inlineStr">
        <is>
          <t>4eme</t>
        </is>
      </c>
      <c r="B322" s="21" t="inlineStr">
        <is>
          <t>N11</t>
        </is>
      </c>
      <c r="C322" s="20" t="inlineStr">
        <is>
          <t>N.RELOP</t>
        </is>
      </c>
      <c r="D322" s="21" t="inlineStr">
        <is>
          <t>MOD</t>
        </is>
      </c>
      <c r="E322" s="20" t="inlineStr">
        <is>
          <t>Ecrit 26 500 FCFA comme solde avant le versement</t>
        </is>
      </c>
      <c r="F322" s="20" t="inlineStr">
        <is>
          <t>Le versement est ajouté au lieu d'être retiré : le raisonnement à rebours n'est pas traduit.</t>
        </is>
      </c>
    </row>
    <row r="323">
      <c r="A323" s="22" t="inlineStr">
        <is>
          <t>4eme</t>
        </is>
      </c>
      <c r="B323" s="23" t="inlineStr">
        <is>
          <t>N11</t>
        </is>
      </c>
      <c r="C323" s="22" t="inlineStr">
        <is>
          <t>N.RELOP</t>
        </is>
      </c>
      <c r="D323" s="23" t="inlineStr">
        <is>
          <t>CPT</t>
        </is>
      </c>
      <c r="E323" s="22" t="inlineStr">
        <is>
          <t>Ecrit -26 500 FCFA</t>
        </is>
      </c>
      <c r="F323" s="22" t="inlineStr">
        <is>
          <t>-8 500 - 35 000 est calculé comme une différence de valeurs absolues (35 000 - 8 500) : la règle des signes est fausse.</t>
        </is>
      </c>
    </row>
    <row r="324">
      <c r="A324" s="20" t="inlineStr">
        <is>
          <t>4eme</t>
        </is>
      </c>
      <c r="B324" s="21" t="inlineStr">
        <is>
          <t>N11</t>
        </is>
      </c>
      <c r="C324" s="20" t="inlineStr">
        <is>
          <t>N.RELOP</t>
        </is>
      </c>
      <c r="D324" s="21" t="inlineStr">
        <is>
          <t>PRC</t>
        </is>
      </c>
      <c r="E324" s="20" t="inlineStr">
        <is>
          <t>Ecrit 43 500 FCFA</t>
        </is>
      </c>
      <c r="F324" s="20" t="inlineStr">
        <is>
          <t>La démarche s = -8 500 - 35 000 est juste mais le signe - du résultat est perdu.</t>
        </is>
      </c>
    </row>
    <row r="325">
      <c r="A325" s="22" t="inlineStr">
        <is>
          <t>4eme</t>
        </is>
      </c>
      <c r="B325" s="23" t="inlineStr">
        <is>
          <t>N11</t>
        </is>
      </c>
      <c r="C325" s="22" t="inlineStr">
        <is>
          <t>N.RELOP</t>
        </is>
      </c>
      <c r="D325" s="23" t="inlineStr">
        <is>
          <t>RED</t>
        </is>
      </c>
      <c r="E325" s="22" t="inlineStr">
        <is>
          <t>Ecrit « Drissa a raison » sans calculer -8 500 + 35 000 = 26 500</t>
        </is>
      </c>
      <c r="F325" s="22" t="inlineStr">
        <is>
          <t>Le jugement est juste mais il n'est appuyé sur aucun calcul.</t>
        </is>
      </c>
    </row>
    <row r="326">
      <c r="A326" s="20" t="inlineStr">
        <is>
          <t>4eme</t>
        </is>
      </c>
      <c r="B326" s="21" t="inlineStr">
        <is>
          <t>N12</t>
        </is>
      </c>
      <c r="C326" s="20" t="inlineStr">
        <is>
          <t>L.DEV1</t>
        </is>
      </c>
      <c r="D326" s="21" t="inlineStr">
        <is>
          <t>CPT</t>
        </is>
      </c>
      <c r="E326" s="20" t="inlineStr">
        <is>
          <t>Ecrit 7x + 4 et « Safiatou a raison »</t>
        </is>
      </c>
      <c r="F326" s="20" t="inlineStr">
        <is>
          <t>Le facteur 7 ne multiplie que le premier terme : la distributivité n'est pas comprise.</t>
        </is>
      </c>
    </row>
    <row r="327">
      <c r="A327" s="22" t="inlineStr">
        <is>
          <t>4eme</t>
        </is>
      </c>
      <c r="B327" s="23" t="inlineStr">
        <is>
          <t>N12</t>
        </is>
      </c>
      <c r="C327" s="22" t="inlineStr">
        <is>
          <t>L.DEV1</t>
        </is>
      </c>
      <c r="D327" s="23" t="inlineStr">
        <is>
          <t>MOD</t>
        </is>
      </c>
      <c r="E327" s="22" t="inlineStr">
        <is>
          <t>Ecrit 2(7 + x + 4) = 2x + 22</t>
        </is>
      </c>
      <c r="F327" s="22" t="inlineStr">
        <is>
          <t>Le périmètre est calculé au lieu de l'aire : la situation n'est pas traduite par le bon objet.</t>
        </is>
      </c>
    </row>
    <row r="328">
      <c r="A328" s="20" t="inlineStr">
        <is>
          <t>4eme</t>
        </is>
      </c>
      <c r="B328" s="21" t="inlineStr">
        <is>
          <t>N12</t>
        </is>
      </c>
      <c r="C328" s="20" t="inlineStr">
        <is>
          <t>L.DEV1</t>
        </is>
      </c>
      <c r="D328" s="21" t="inlineStr">
        <is>
          <t>PRC</t>
        </is>
      </c>
      <c r="E328" s="20" t="inlineStr">
        <is>
          <t>Ecrit 7x + 11</t>
        </is>
      </c>
      <c r="F328" s="20" t="inlineStr">
        <is>
          <t>La distributivité est engagée mais 7 et 4 sont additionnés au lieu d'être multipliés.</t>
        </is>
      </c>
    </row>
    <row r="329">
      <c r="A329" s="22" t="inlineStr">
        <is>
          <t>4eme</t>
        </is>
      </c>
      <c r="B329" s="23" t="inlineStr">
        <is>
          <t>N12</t>
        </is>
      </c>
      <c r="C329" s="22" t="inlineStr">
        <is>
          <t>L.DEV1</t>
        </is>
      </c>
      <c r="D329" s="23" t="inlineStr">
        <is>
          <t>RED</t>
        </is>
      </c>
      <c r="E329" s="22" t="inlineStr">
        <is>
          <t>Ecrit 7x + 28 et « elle a tort » sans désigner le terme 7 × 4 oublié</t>
        </is>
      </c>
      <c r="F329" s="22" t="inlineStr">
        <is>
          <t>Le résultat est juste mais l'erreur de Safiatou n'est pas expliquée.</t>
        </is>
      </c>
    </row>
    <row r="330">
      <c r="A330" s="20" t="inlineStr">
        <is>
          <t>4eme</t>
        </is>
      </c>
      <c r="B330" s="21" t="inlineStr">
        <is>
          <t>L3</t>
        </is>
      </c>
      <c r="C330" s="20" t="inlineStr">
        <is>
          <t>L.EQD</t>
        </is>
      </c>
      <c r="D330" s="21" t="inlineStr">
        <is>
          <t>MOD</t>
        </is>
      </c>
      <c r="E330" s="20" t="inlineStr">
        <is>
          <t>Ecrit x + 3(x - 7) = 61, puis x = 20,5</t>
        </is>
      </c>
      <c r="F330" s="20" t="inlineStr">
        <is>
          <t>« Le triple diminué de 7 » est traduit par 3(x - 7) : la phrase n'est pas convertie en expression.</t>
        </is>
      </c>
    </row>
    <row r="331">
      <c r="A331" s="22" t="inlineStr">
        <is>
          <t>4eme</t>
        </is>
      </c>
      <c r="B331" s="23" t="inlineStr">
        <is>
          <t>L3</t>
        </is>
      </c>
      <c r="C331" s="22" t="inlineStr">
        <is>
          <t>L.EQD</t>
        </is>
      </c>
      <c r="D331" s="23" t="inlineStr">
        <is>
          <t>CPT</t>
        </is>
      </c>
      <c r="E331" s="22" t="inlineStr">
        <is>
          <t>Ecrit 3x² - 7 = 61</t>
        </is>
      </c>
      <c r="F331" s="22" t="inlineStr">
        <is>
          <t>x + 3x est réduit en 3x² : addition et multiplication de termes en x sont confondues.</t>
        </is>
      </c>
    </row>
    <row r="332">
      <c r="A332" s="20" t="inlineStr">
        <is>
          <t>4eme</t>
        </is>
      </c>
      <c r="B332" s="21" t="inlineStr">
        <is>
          <t>L3</t>
        </is>
      </c>
      <c r="C332" s="20" t="inlineStr">
        <is>
          <t>L.EQD</t>
        </is>
      </c>
      <c r="D332" s="21" t="inlineStr">
        <is>
          <t>PRC</t>
        </is>
      </c>
      <c r="E332" s="20" t="inlineStr">
        <is>
          <t>Ecrit 4x = 54, puis x = 13,5</t>
        </is>
      </c>
      <c r="F332" s="20" t="inlineStr">
        <is>
          <t>L'équation est juste mais le -7 est retiré au lieu d'être compensé : 61 - 7 = 54.</t>
        </is>
      </c>
    </row>
    <row r="333">
      <c r="A333" s="22" t="inlineStr">
        <is>
          <t>4eme</t>
        </is>
      </c>
      <c r="B333" s="23" t="inlineStr">
        <is>
          <t>L3</t>
        </is>
      </c>
      <c r="C333" s="22" t="inlineStr">
        <is>
          <t>L.EQD</t>
        </is>
      </c>
      <c r="D333" s="23" t="inlineStr">
        <is>
          <t>RED</t>
        </is>
      </c>
      <c r="E333" s="22" t="inlineStr">
        <is>
          <t>Ecrit x = 17 trouvé par essais, sans équation</t>
        </is>
      </c>
      <c r="F333" s="22" t="inlineStr">
        <is>
          <t>Le résultat est juste mais l'équation demandée n'est pas écrite.</t>
        </is>
      </c>
    </row>
    <row r="334">
      <c r="A334" s="20" t="inlineStr">
        <is>
          <t>4eme</t>
        </is>
      </c>
      <c r="B334" s="21" t="inlineStr">
        <is>
          <t>G5</t>
        </is>
      </c>
      <c r="C334" s="20" t="inlineStr">
        <is>
          <t>G.SYMC</t>
        </is>
      </c>
      <c r="D334" s="21" t="inlineStr">
        <is>
          <t>CNS</t>
        </is>
      </c>
      <c r="E334" s="20" t="inlineStr">
        <is>
          <t>Ecrit OA = 9 cm</t>
        </is>
      </c>
      <c r="F334" s="20" t="inlineStr">
        <is>
          <t>Le fait que O soit le milieu de [AB] n'est pas mobilisé : OA est confondu avec AB.</t>
        </is>
      </c>
    </row>
    <row r="335">
      <c r="A335" s="22" t="inlineStr">
        <is>
          <t>4eme</t>
        </is>
      </c>
      <c r="B335" s="23" t="inlineStr">
        <is>
          <t>G5</t>
        </is>
      </c>
      <c r="C335" s="22" t="inlineStr">
        <is>
          <t>G.SYMC</t>
        </is>
      </c>
      <c r="D335" s="23" t="inlineStr">
        <is>
          <t>CPT</t>
        </is>
      </c>
      <c r="E335" s="22" t="inlineStr">
        <is>
          <t>Trace un triangle AOB, O hors de la droite (AB)</t>
        </is>
      </c>
      <c r="F335" s="22" t="inlineStr">
        <is>
          <t>L'alignement de A, O et B n'est pas compris : le symétrique est vu comme un point quelconque à même distance.</t>
        </is>
      </c>
    </row>
    <row r="336">
      <c r="A336" s="20" t="inlineStr">
        <is>
          <t>4eme</t>
        </is>
      </c>
      <c r="B336" s="21" t="inlineStr">
        <is>
          <t>G5</t>
        </is>
      </c>
      <c r="C336" s="20" t="inlineStr">
        <is>
          <t>G.SYMC</t>
        </is>
      </c>
      <c r="D336" s="21" t="inlineStr">
        <is>
          <t>PRC</t>
        </is>
      </c>
      <c r="E336" s="20" t="inlineStr">
        <is>
          <t>Ecrit OA = 4,5 cm mais place O à 4 cm ou à 5 cm de A</t>
        </is>
      </c>
      <c r="F336" s="20" t="inlineStr">
        <is>
          <t>Le calcul est juste mais le report à la règle dépasse la tolérance de 2 mm.</t>
        </is>
      </c>
    </row>
    <row r="337">
      <c r="A337" s="22" t="inlineStr">
        <is>
          <t>4eme</t>
        </is>
      </c>
      <c r="B337" s="23" t="inlineStr">
        <is>
          <t>G5</t>
        </is>
      </c>
      <c r="C337" s="22" t="inlineStr">
        <is>
          <t>G.SYMC</t>
        </is>
      </c>
      <c r="D337" s="23" t="inlineStr">
        <is>
          <t>RED</t>
        </is>
      </c>
      <c r="E337" s="22" t="inlineStr">
        <is>
          <t>Ecrit OA = 4,5 cm sans dire que O est le milieu de [AB]</t>
        </is>
      </c>
      <c r="F337" s="22" t="inlineStr">
        <is>
          <t>La longueur est juste mais la propriété de la symétrie centrale n'est pas citée.</t>
        </is>
      </c>
    </row>
    <row r="338">
      <c r="A338" s="20" t="inlineStr">
        <is>
          <t>4eme</t>
        </is>
      </c>
      <c r="B338" s="21" t="inlineStr">
        <is>
          <t>G6</t>
        </is>
      </c>
      <c r="C338" s="20" t="inlineStr">
        <is>
          <t>G.ANG3</t>
        </is>
      </c>
      <c r="D338" s="21" t="inlineStr">
        <is>
          <t>CPT</t>
        </is>
      </c>
      <c r="E338" s="20" t="inlineStr">
        <is>
          <t>Ecrit 107° (180° - 73°) et « parallèles » dans le cas 107°</t>
        </is>
      </c>
      <c r="F338" s="20" t="inlineStr">
        <is>
          <t>Angles alternes-internes égaux et angles supplémentaires sont confondus.</t>
        </is>
      </c>
    </row>
    <row r="339">
      <c r="A339" s="22" t="inlineStr">
        <is>
          <t>4eme</t>
        </is>
      </c>
      <c r="B339" s="23" t="inlineStr">
        <is>
          <t>G6</t>
        </is>
      </c>
      <c r="C339" s="22" t="inlineStr">
        <is>
          <t>G.ANG3</t>
        </is>
      </c>
      <c r="D339" s="23" t="inlineStr">
        <is>
          <t>CNS</t>
        </is>
      </c>
      <c r="E339" s="22" t="inlineStr">
        <is>
          <t>Ecrit « parallèles car la figure le montre » sans mesure</t>
        </is>
      </c>
      <c r="F339" s="22" t="inlineStr">
        <is>
          <t>La réciproque de la propriété des angles alternes-internes n'est pas disponible.</t>
        </is>
      </c>
    </row>
    <row r="340">
      <c r="A340" s="20" t="inlineStr">
        <is>
          <t>4eme</t>
        </is>
      </c>
      <c r="B340" s="21" t="inlineStr">
        <is>
          <t>G6</t>
        </is>
      </c>
      <c r="C340" s="20" t="inlineStr">
        <is>
          <t>G.ANG3</t>
        </is>
      </c>
      <c r="D340" s="21" t="inlineStr">
        <is>
          <t>RED</t>
        </is>
      </c>
      <c r="E340" s="20" t="inlineStr">
        <is>
          <t>Ecrit 73° puis « non » pour 107° sans comparer 107° à 73°</t>
        </is>
      </c>
      <c r="F340" s="20" t="inlineStr">
        <is>
          <t>Les réponses sont justes mais le cas 107° n'est pas justifié.</t>
        </is>
      </c>
    </row>
    <row r="341">
      <c r="A341" s="22" t="inlineStr">
        <is>
          <t>4eme</t>
        </is>
      </c>
      <c r="B341" s="23" t="inlineStr">
        <is>
          <t>G7</t>
        </is>
      </c>
      <c r="C341" s="22" t="inlineStr">
        <is>
          <t>G.TRIP</t>
        </is>
      </c>
      <c r="D341" s="23" t="inlineStr">
        <is>
          <t>CNS</t>
        </is>
      </c>
      <c r="E341" s="22" t="inlineStr">
        <is>
          <t>Ecrit BAC = 50° et BAD = 50°</t>
        </is>
      </c>
      <c r="F341" s="22" t="inlineStr">
        <is>
          <t>La définition de la bissectrice (partage en deux angles égaux) n'est pas mobilisée.</t>
        </is>
      </c>
    </row>
    <row r="342">
      <c r="A342" s="20" t="inlineStr">
        <is>
          <t>4eme</t>
        </is>
      </c>
      <c r="B342" s="21" t="inlineStr">
        <is>
          <t>G7</t>
        </is>
      </c>
      <c r="C342" s="20" t="inlineStr">
        <is>
          <t>G.TRIP</t>
        </is>
      </c>
      <c r="D342" s="21" t="inlineStr">
        <is>
          <t>PRC</t>
        </is>
      </c>
      <c r="E342" s="20" t="inlineStr">
        <is>
          <t>Ecrit BAC = 60°, puis BAD = 30°</t>
        </is>
      </c>
      <c r="F342" s="20" t="inlineStr">
        <is>
          <t>La somme des angles est bien utilisée mais 180 - 50 - 80 est mal calculé.</t>
        </is>
      </c>
    </row>
    <row r="343">
      <c r="A343" s="22" t="inlineStr">
        <is>
          <t>4eme</t>
        </is>
      </c>
      <c r="B343" s="23" t="inlineStr">
        <is>
          <t>G7</t>
        </is>
      </c>
      <c r="C343" s="22" t="inlineStr">
        <is>
          <t>G.TRIP</t>
        </is>
      </c>
      <c r="D343" s="23" t="inlineStr">
        <is>
          <t>CPT</t>
        </is>
      </c>
      <c r="E343" s="22" t="inlineStr">
        <is>
          <t>Ecrit « Sibiri a raison »</t>
        </is>
      </c>
      <c r="F343" s="22" t="inlineStr">
        <is>
          <t>Bissectrice et médiatrice sont confondues dans un triangle quelconque.</t>
        </is>
      </c>
    </row>
    <row r="344">
      <c r="A344" s="20" t="inlineStr">
        <is>
          <t>4eme</t>
        </is>
      </c>
      <c r="B344" s="21" t="inlineStr">
        <is>
          <t>G7</t>
        </is>
      </c>
      <c r="C344" s="20" t="inlineStr">
        <is>
          <t>G.TRIP</t>
        </is>
      </c>
      <c r="D344" s="21" t="inlineStr">
        <is>
          <t>RED</t>
        </is>
      </c>
      <c r="E344" s="20" t="inlineStr">
        <is>
          <t>Ecrit « Sibiri a tort » sans dire que le triangle n'est pas isocèle en A</t>
        </is>
      </c>
      <c r="F344" s="20" t="inlineStr">
        <is>
          <t>Le jugement est juste mais il n'est appuyé sur aucune propriété.</t>
        </is>
      </c>
    </row>
    <row r="345">
      <c r="A345" s="22" t="inlineStr">
        <is>
          <t>4eme</t>
        </is>
      </c>
      <c r="B345" s="23" t="inlineStr">
        <is>
          <t>G8</t>
        </is>
      </c>
      <c r="C345" s="22" t="inlineStr">
        <is>
          <t>M.VOL</t>
        </is>
      </c>
      <c r="D345" s="23" t="inlineStr">
        <is>
          <t>PRC</t>
        </is>
      </c>
      <c r="E345" s="22" t="inlineStr">
        <is>
          <t>Ecrit h = 50,24 / (3,14 × 2) = 8 m</t>
        </is>
      </c>
      <c r="F345" s="22" t="inlineStr">
        <is>
          <t>La formule est bien choisie mais le rayon n'est pas élevé au carré dans l'exécution.</t>
        </is>
      </c>
    </row>
    <row r="346">
      <c r="A346" s="20" t="inlineStr">
        <is>
          <t>4eme</t>
        </is>
      </c>
      <c r="B346" s="21" t="inlineStr">
        <is>
          <t>G8</t>
        </is>
      </c>
      <c r="C346" s="20" t="inlineStr">
        <is>
          <t>M.VOL</t>
        </is>
      </c>
      <c r="D346" s="21" t="inlineStr">
        <is>
          <t>CNS</t>
        </is>
      </c>
      <c r="E346" s="20" t="inlineStr">
        <is>
          <t>Ecrit h = 50,24 / 3,14 = 16 m</t>
        </is>
      </c>
      <c r="F346" s="20" t="inlineStr">
        <is>
          <t>La formule V = π × r² × h n'est pas disponible : le rayon n'y figure pas.</t>
        </is>
      </c>
    </row>
    <row r="347">
      <c r="A347" s="22" t="inlineStr">
        <is>
          <t>4eme</t>
        </is>
      </c>
      <c r="B347" s="23" t="inlineStr">
        <is>
          <t>G8</t>
        </is>
      </c>
      <c r="C347" s="22" t="inlineStr">
        <is>
          <t>M.VOL</t>
        </is>
      </c>
      <c r="D347" s="23" t="inlineStr">
        <is>
          <t>PRQ</t>
        </is>
      </c>
      <c r="E347" s="22" t="inlineStr">
        <is>
          <t>Ecrit h = 0,4 m ou h = 40 m</t>
        </is>
      </c>
      <c r="F347" s="22" t="inlineStr">
        <is>
          <t>La démarche 50,24 / 12,56 est juste mais la virgule est mal placée : la division décimale (6ème) n'est pas acquise.</t>
        </is>
      </c>
    </row>
    <row r="348">
      <c r="A348" s="20" t="inlineStr">
        <is>
          <t>4eme</t>
        </is>
      </c>
      <c r="B348" s="21" t="inlineStr">
        <is>
          <t>G8</t>
        </is>
      </c>
      <c r="C348" s="20" t="inlineStr">
        <is>
          <t>M.VOL</t>
        </is>
      </c>
      <c r="D348" s="21" t="inlineStr">
        <is>
          <t>CPT</t>
        </is>
      </c>
      <c r="E348" s="20" t="inlineStr">
        <is>
          <t>Ecrit « Talato a raison »</t>
        </is>
      </c>
      <c r="F348" s="20" t="inlineStr">
        <is>
          <t>L'élève croit le volume proportionnel au rayon : le rôle du carré n'est pas compris.</t>
        </is>
      </c>
    </row>
    <row r="349">
      <c r="A349" s="22" t="inlineStr">
        <is>
          <t>4eme</t>
        </is>
      </c>
      <c r="B349" s="23" t="inlineStr">
        <is>
          <t>G8</t>
        </is>
      </c>
      <c r="C349" s="22" t="inlineStr">
        <is>
          <t>M.VOL</t>
        </is>
      </c>
      <c r="D349" s="23" t="inlineStr">
        <is>
          <t>RED</t>
        </is>
      </c>
      <c r="E349" s="22" t="inlineStr">
        <is>
          <t>Ecrit « elle a tort » sans donner le facteur 4 ni le volume 200,96 m³</t>
        </is>
      </c>
      <c r="F349" s="22" t="inlineStr">
        <is>
          <t>Le jugement est juste mais il n'est pas justifié.</t>
        </is>
      </c>
    </row>
    <row r="350">
      <c r="A350" s="20" t="inlineStr">
        <is>
          <t>4eme</t>
        </is>
      </c>
      <c r="B350" s="21" t="inlineStr">
        <is>
          <t>D2</t>
        </is>
      </c>
      <c r="C350" s="20" t="inlineStr">
        <is>
          <t>D.POUR</t>
        </is>
      </c>
      <c r="D350" s="21" t="inlineStr">
        <is>
          <t>CPT</t>
        </is>
      </c>
      <c r="E350" s="20" t="inlineStr">
        <is>
          <t>Ecrit 51 000 + 7 650 = 58 650 FCFA et « le vendeur a raison »</t>
        </is>
      </c>
      <c r="F350" s="20" t="inlineStr">
        <is>
          <t>Le pourcentage est appliqué au prix réduit au lieu du prix initial.</t>
        </is>
      </c>
    </row>
    <row r="351">
      <c r="A351" s="22" t="inlineStr">
        <is>
          <t>4eme</t>
        </is>
      </c>
      <c r="B351" s="23" t="inlineStr">
        <is>
          <t>D2</t>
        </is>
      </c>
      <c r="C351" s="22" t="inlineStr">
        <is>
          <t>D.POUR</t>
        </is>
      </c>
      <c r="D351" s="23" t="inlineStr">
        <is>
          <t>MOD</t>
        </is>
      </c>
      <c r="E351" s="22" t="inlineStr">
        <is>
          <t>Ecrit 51 000 - 7 650 = 43 350 FCFA</t>
        </is>
      </c>
      <c r="F351" s="22" t="inlineStr">
        <is>
          <t>La question est lue comme une nouvelle remise sur le prix payé : le retour au prix initial n'est pas modélisé.</t>
        </is>
      </c>
    </row>
    <row r="352">
      <c r="A352" s="20" t="inlineStr">
        <is>
          <t>4eme</t>
        </is>
      </c>
      <c r="B352" s="21" t="inlineStr">
        <is>
          <t>D2</t>
        </is>
      </c>
      <c r="C352" s="20" t="inlineStr">
        <is>
          <t>D.POUR</t>
        </is>
      </c>
      <c r="D352" s="21" t="inlineStr">
        <is>
          <t>PRC</t>
        </is>
      </c>
      <c r="E352" s="20" t="inlineStr">
        <is>
          <t>Ecrit 51 000 × 100 / 85 = 6 000 FCFA</t>
        </is>
      </c>
      <c r="F352" s="20" t="inlineStr">
        <is>
          <t>La démarche par les 85 % est juste mais la division 5 100 000 / 85 perd un zéro.</t>
        </is>
      </c>
    </row>
    <row r="353">
      <c r="A353" s="22" t="inlineStr">
        <is>
          <t>4eme</t>
        </is>
      </c>
      <c r="B353" s="23" t="inlineStr">
        <is>
          <t>D2</t>
        </is>
      </c>
      <c r="C353" s="22" t="inlineStr">
        <is>
          <t>D.POUR</t>
        </is>
      </c>
      <c r="D353" s="23" t="inlineStr">
        <is>
          <t>RED</t>
        </is>
      </c>
      <c r="E353" s="22" t="inlineStr">
        <is>
          <t>Ecrit « il a tort » sans calculer la remise de 9 000 FCFA</t>
        </is>
      </c>
      <c r="F353" s="22" t="inlineStr">
        <is>
          <t>Le jugement est juste mais il n'est appuyé ni sur la remise réelle ni sur la base du pourcentage.</t>
        </is>
      </c>
    </row>
    <row r="354">
      <c r="A354" s="20" t="inlineStr">
        <is>
          <t>4eme</t>
        </is>
      </c>
      <c r="B354" s="21" t="inlineStr">
        <is>
          <t>P1.1</t>
        </is>
      </c>
      <c r="C354" s="20" t="inlineStr">
        <is>
          <t>M.MVD</t>
        </is>
      </c>
      <c r="D354" s="21" t="inlineStr">
        <is>
          <t>PRQ</t>
        </is>
      </c>
      <c r="E354" s="20" t="inlineStr">
        <is>
          <t>Ecrit 4 h 50 min et une arrivée à 10 h 50</t>
        </is>
      </c>
      <c r="F354" s="20" t="inlineStr">
        <is>
          <t>360 / 80 = 4,5 est juste mais 4,5 h est lu 4 h 50 min : la conversion des durées décimales (primaire et 6ème) n'est pas acquise.</t>
        </is>
      </c>
    </row>
    <row r="355">
      <c r="A355" s="22" t="inlineStr">
        <is>
          <t>4eme</t>
        </is>
      </c>
      <c r="B355" s="23" t="inlineStr">
        <is>
          <t>P1.1</t>
        </is>
      </c>
      <c r="C355" s="22" t="inlineStr">
        <is>
          <t>M.MVD</t>
        </is>
      </c>
      <c r="D355" s="23" t="inlineStr">
        <is>
          <t>CPT</t>
        </is>
      </c>
      <c r="E355" s="22" t="inlineStr">
        <is>
          <t>Ecrit 360 × 80 = 28 800</t>
        </is>
      </c>
      <c r="F355" s="22" t="inlineStr">
        <is>
          <t>La durée est vue comme un produit distance × vitesse : le sens de la grandeur quotient n'est pas compris.</t>
        </is>
      </c>
    </row>
    <row r="356">
      <c r="A356" s="20" t="inlineStr">
        <is>
          <t>4eme</t>
        </is>
      </c>
      <c r="B356" s="21" t="inlineStr">
        <is>
          <t>P1.1</t>
        </is>
      </c>
      <c r="C356" s="20" t="inlineStr">
        <is>
          <t>M.MVD</t>
        </is>
      </c>
      <c r="D356" s="21" t="inlineStr">
        <is>
          <t>MOD</t>
        </is>
      </c>
      <c r="E356" s="20" t="inlineStr">
        <is>
          <t>Ecrit 360 × 22 / 100 = 79,2 litres</t>
        </is>
      </c>
      <c r="F356" s="20" t="inlineStr">
        <is>
          <t>La donnée inutile (consommation) est exploitée à la place de la vitesse : la question n'est pas traduite.</t>
        </is>
      </c>
    </row>
    <row r="357">
      <c r="A357" s="22" t="inlineStr">
        <is>
          <t>4eme</t>
        </is>
      </c>
      <c r="B357" s="23" t="inlineStr">
        <is>
          <t>P1.1</t>
        </is>
      </c>
      <c r="C357" s="22" t="inlineStr">
        <is>
          <t>M.MVD</t>
        </is>
      </c>
      <c r="D357" s="23" t="inlineStr">
        <is>
          <t>RED</t>
        </is>
      </c>
      <c r="E357" s="22" t="inlineStr">
        <is>
          <t>Ecrit « arrivée à 10 h 30 » sans calcul de la durée</t>
        </is>
      </c>
      <c r="F357" s="22" t="inlineStr">
        <is>
          <t>Le résultat est juste mais la démarche n'est pas montrée.</t>
        </is>
      </c>
    </row>
    <row r="358">
      <c r="A358" s="20" t="inlineStr">
        <is>
          <t>4eme</t>
        </is>
      </c>
      <c r="B358" s="21" t="inlineStr">
        <is>
          <t>P1.2</t>
        </is>
      </c>
      <c r="C358" s="20" t="inlineStr">
        <is>
          <t>N.RELOP</t>
        </is>
      </c>
      <c r="D358" s="21" t="inlineStr">
        <is>
          <t>CPT</t>
        </is>
      </c>
      <c r="E358" s="20" t="inlineStr">
        <is>
          <t>Ecrit 31 ; 28 ; 34</t>
        </is>
      </c>
      <c r="F358" s="20" t="inlineStr">
        <is>
          <t>-16 - (-15) est calculé -16 - 15 = -31 : soustraire un relatif n'est pas compris comme ajouter son opposé.</t>
        </is>
      </c>
    </row>
    <row r="359">
      <c r="A359" s="22" t="inlineStr">
        <is>
          <t>4eme</t>
        </is>
      </c>
      <c r="B359" s="23" t="inlineStr">
        <is>
          <t>P1.2</t>
        </is>
      </c>
      <c r="C359" s="22" t="inlineStr">
        <is>
          <t>N.VAB</t>
        </is>
      </c>
      <c r="D359" s="23" t="inlineStr">
        <is>
          <t>MOD</t>
        </is>
      </c>
      <c r="E359" s="22" t="inlineStr">
        <is>
          <t>Ecrit 3 et 6 (écarts entre relevés successifs)</t>
        </is>
      </c>
      <c r="F359" s="22" t="inlineStr">
        <is>
          <t>L'écart est pris entre deux relevés au lieu de l'écart à la consigne -15 : la situation n'est pas traduite.</t>
        </is>
      </c>
    </row>
    <row r="360">
      <c r="A360" s="20" t="inlineStr">
        <is>
          <t>4eme</t>
        </is>
      </c>
      <c r="B360" s="21" t="inlineStr">
        <is>
          <t>P1.2</t>
        </is>
      </c>
      <c r="C360" s="20" t="inlineStr">
        <is>
          <t>N.RELOP</t>
        </is>
      </c>
      <c r="D360" s="21" t="inlineStr">
        <is>
          <t>ATT</t>
        </is>
      </c>
      <c r="E360" s="20" t="inlineStr">
        <is>
          <t>Ecrit 1 ; 28 ; 4</t>
        </is>
      </c>
      <c r="F360" s="20" t="inlineStr">
        <is>
          <t>Deux écarts sont justes : le signe de -15 n'est perdu que pour le relevé -13 (-13 - 15 = -28).</t>
        </is>
      </c>
    </row>
    <row r="361">
      <c r="A361" s="22" t="inlineStr">
        <is>
          <t>4eme</t>
        </is>
      </c>
      <c r="B361" s="23" t="inlineStr">
        <is>
          <t>P1.2</t>
        </is>
      </c>
      <c r="C361" s="22" t="inlineStr">
        <is>
          <t>N.VAB</t>
        </is>
      </c>
      <c r="D361" s="23" t="inlineStr">
        <is>
          <t>RED</t>
        </is>
      </c>
      <c r="E361" s="22" t="inlineStr">
        <is>
          <t>Ecrit 1 ; 2 ; 4 sans aucun calcul</t>
        </is>
      </c>
      <c r="F361" s="22" t="inlineStr">
        <is>
          <t>Les écarts sont justes mais aucun calcul ne les établit.</t>
        </is>
      </c>
    </row>
    <row r="362">
      <c r="A362" s="20" t="inlineStr">
        <is>
          <t>4eme</t>
        </is>
      </c>
      <c r="B362" s="21" t="inlineStr">
        <is>
          <t>P1.3</t>
        </is>
      </c>
      <c r="C362" s="20" t="inlineStr">
        <is>
          <t>N.VAB</t>
        </is>
      </c>
      <c r="D362" s="21" t="inlineStr">
        <is>
          <t>MOD</t>
        </is>
      </c>
      <c r="E362" s="20" t="inlineStr">
        <is>
          <t>Désigne -13 comme seul relevé non conforme (plus chaud que -15)</t>
        </is>
      </c>
      <c r="F362" s="20" t="inlineStr">
        <is>
          <t>La contrainte d'écart est lue comme « rester sous -15 » : le texte n'est pas traduit en écart.</t>
        </is>
      </c>
    </row>
    <row r="363">
      <c r="A363" s="22" t="inlineStr">
        <is>
          <t>4eme</t>
        </is>
      </c>
      <c r="B363" s="23" t="inlineStr">
        <is>
          <t>P1.3</t>
        </is>
      </c>
      <c r="C363" s="22" t="inlineStr">
        <is>
          <t>N.VAB</t>
        </is>
      </c>
      <c r="D363" s="23" t="inlineStr">
        <is>
          <t>CPT</t>
        </is>
      </c>
      <c r="E363" s="22" t="inlineStr">
        <is>
          <t>Ecrit -4 &lt; 3, donc tous les relevés sont conformes</t>
        </is>
      </c>
      <c r="F363" s="22" t="inlineStr">
        <is>
          <t>L'écart est gardé avec son signe : l'écart comme distance positive (valeur absolue) n'est pas compris.</t>
        </is>
      </c>
    </row>
    <row r="364">
      <c r="A364" s="20" t="inlineStr">
        <is>
          <t>4eme</t>
        </is>
      </c>
      <c r="B364" s="21" t="inlineStr">
        <is>
          <t>P1.3</t>
        </is>
      </c>
      <c r="C364" s="20" t="inlineStr">
        <is>
          <t>N.VAB</t>
        </is>
      </c>
      <c r="D364" s="21" t="inlineStr">
        <is>
          <t>RED</t>
        </is>
      </c>
      <c r="E364" s="20" t="inlineStr">
        <is>
          <t>Désigne -19 sans comparer 4 à 3 ni écrire de phrase de conclusion</t>
        </is>
      </c>
      <c r="F364" s="20" t="inlineStr">
        <is>
          <t>Le relevé désigné est juste mais la décision n'est ni justifiée ni rédigée.</t>
        </is>
      </c>
    </row>
    <row r="365">
      <c r="A365" s="22" t="inlineStr">
        <is>
          <t>4eme</t>
        </is>
      </c>
      <c r="B365" s="23" t="inlineStr">
        <is>
          <t>P2.1</t>
        </is>
      </c>
      <c r="C365" s="22" t="inlineStr">
        <is>
          <t>L.EQD</t>
        </is>
      </c>
      <c r="D365" s="23" t="inlineStr">
        <is>
          <t>MOD</t>
        </is>
      </c>
      <c r="E365" s="22" t="inlineStr">
        <is>
          <t>Ecrit 5 000x + 3 000 = 32 000</t>
        </is>
      </c>
      <c r="F365" s="22" t="inlineStr">
        <is>
          <t>Le transport est ajouté au lieu d'être retranché : « transport payé » n'est pas traduit.</t>
        </is>
      </c>
    </row>
    <row r="366">
      <c r="A366" s="20" t="inlineStr">
        <is>
          <t>4eme</t>
        </is>
      </c>
      <c r="B366" s="21" t="inlineStr">
        <is>
          <t>P2.1</t>
        </is>
      </c>
      <c r="C366" s="20" t="inlineStr">
        <is>
          <t>L.EQD</t>
        </is>
      </c>
      <c r="D366" s="21" t="inlineStr">
        <is>
          <t>CPT</t>
        </is>
      </c>
      <c r="E366" s="20" t="inlineStr">
        <is>
          <t>Ecrit 5 000 + x - 3 000 = 32 000</t>
        </is>
      </c>
      <c r="F366" s="20" t="inlineStr">
        <is>
          <t>Le produit du prix par le nombre de sacs est écrit comme une somme : le sens de 5 000x n'est pas compris.</t>
        </is>
      </c>
    </row>
    <row r="367">
      <c r="A367" s="22" t="inlineStr">
        <is>
          <t>4eme</t>
        </is>
      </c>
      <c r="B367" s="23" t="inlineStr">
        <is>
          <t>P2.1</t>
        </is>
      </c>
      <c r="C367" s="22" t="inlineStr">
        <is>
          <t>L.EQD</t>
        </is>
      </c>
      <c r="D367" s="23" t="inlineStr">
        <is>
          <t>RED</t>
        </is>
      </c>
      <c r="E367" s="22" t="inlineStr">
        <is>
          <t>Ecrit (32 000 + 3 000) / 5 000 = 7 sans écrire d'équation</t>
        </is>
      </c>
      <c r="F367" s="22" t="inlineStr">
        <is>
          <t>Le nombre de sacs est juste mais l'équation demandée n'est pas écrite.</t>
        </is>
      </c>
    </row>
    <row r="368">
      <c r="A368" s="20" t="inlineStr">
        <is>
          <t>4eme</t>
        </is>
      </c>
      <c r="B368" s="21" t="inlineStr">
        <is>
          <t>P2.2</t>
        </is>
      </c>
      <c r="C368" s="20" t="inlineStr">
        <is>
          <t>L.EGA</t>
        </is>
      </c>
      <c r="D368" s="21" t="inlineStr">
        <is>
          <t>CPT</t>
        </is>
      </c>
      <c r="E368" s="20" t="inlineStr">
        <is>
          <t>Ecrit « soustraire 3 000 », puis 5 000x = 29 000 et x = 5,8</t>
        </is>
      </c>
      <c r="F368" s="20" t="inlineStr">
        <is>
          <t>Le terme -3 000 est retranché au lieu d'être compensé : la règle de transformation d'une égalité est fausse.</t>
        </is>
      </c>
    </row>
    <row r="369">
      <c r="A369" s="22" t="inlineStr">
        <is>
          <t>4eme</t>
        </is>
      </c>
      <c r="B369" s="23" t="inlineStr">
        <is>
          <t>P2.2</t>
        </is>
      </c>
      <c r="C369" s="22" t="inlineStr">
        <is>
          <t>L.EQD</t>
        </is>
      </c>
      <c r="D369" s="23" t="inlineStr">
        <is>
          <t>CPT</t>
        </is>
      </c>
      <c r="E369" s="22" t="inlineStr">
        <is>
          <t>Ecrit x = 35 000 - 5 000 = 30 000</t>
        </is>
      </c>
      <c r="F369" s="22" t="inlineStr">
        <is>
          <t>Le coefficient 5 000 est traité comme un terme : la division des deux membres n'est pas comprise.</t>
        </is>
      </c>
    </row>
    <row r="370">
      <c r="A370" s="20" t="inlineStr">
        <is>
          <t>4eme</t>
        </is>
      </c>
      <c r="B370" s="21" t="inlineStr">
        <is>
          <t>P2.2</t>
        </is>
      </c>
      <c r="C370" s="20" t="inlineStr">
        <is>
          <t>L.EQD</t>
        </is>
      </c>
      <c r="D370" s="21" t="inlineStr">
        <is>
          <t>PRC</t>
        </is>
      </c>
      <c r="E370" s="20" t="inlineStr">
        <is>
          <t>Ecrit x = 70 ou x = 0,7</t>
        </is>
      </c>
      <c r="F370" s="20" t="inlineStr">
        <is>
          <t>La division 35 000 / 5 000 est bien choisie mais les zéros sont mal gérés.</t>
        </is>
      </c>
    </row>
    <row r="371">
      <c r="A371" s="22" t="inlineStr">
        <is>
          <t>4eme</t>
        </is>
      </c>
      <c r="B371" s="23" t="inlineStr">
        <is>
          <t>P2.2</t>
        </is>
      </c>
      <c r="C371" s="22" t="inlineStr">
        <is>
          <t>L.EGA</t>
        </is>
      </c>
      <c r="D371" s="23" t="inlineStr">
        <is>
          <t>RED</t>
        </is>
      </c>
      <c r="E371" s="22" t="inlineStr">
        <is>
          <t>Ecrit x = 7 sans aucune transformation écrite</t>
        </is>
      </c>
      <c r="F371" s="22" t="inlineStr">
        <is>
          <t>La solution est juste mais ni l'opération ni la résolution ne sont montrées.</t>
        </is>
      </c>
    </row>
    <row r="372">
      <c r="A372" s="20" t="inlineStr">
        <is>
          <t>4eme</t>
        </is>
      </c>
      <c r="B372" s="21" t="inlineStr">
        <is>
          <t>P2.3</t>
        </is>
      </c>
      <c r="C372" s="20" t="inlineStr">
        <is>
          <t>D.POUR</t>
        </is>
      </c>
      <c r="D372" s="21" t="inlineStr">
        <is>
          <t>MOD</t>
        </is>
      </c>
      <c r="E372" s="20" t="inlineStr">
        <is>
          <t>Ecrit 6 × 6 000 = 36 000 FCFA et conclut sans retirer le transport</t>
        </is>
      </c>
      <c r="F372" s="20" t="inlineStr">
        <is>
          <t>La contrainte « transport payé » n'est pas réinvestie dans la décision.</t>
        </is>
      </c>
    </row>
    <row r="373">
      <c r="A373" s="22" t="inlineStr">
        <is>
          <t>4eme</t>
        </is>
      </c>
      <c r="B373" s="23" t="inlineStr">
        <is>
          <t>P2.3</t>
        </is>
      </c>
      <c r="C373" s="22" t="inlineStr">
        <is>
          <t>D.POUR</t>
        </is>
      </c>
      <c r="D373" s="23" t="inlineStr">
        <is>
          <t>CPT</t>
        </is>
      </c>
      <c r="E373" s="22" t="inlineStr">
        <is>
          <t>Ecrit 5 020 FCFA, puis 6 × 5 020 - 3 000 = 27 120 FCFA et « elle a tort »</t>
        </is>
      </c>
      <c r="F373" s="22" t="inlineStr">
        <is>
          <t>20 % est ajouté comme 20 FCFA : le pourcentage n'est pas compris comme une fraction du prix.</t>
        </is>
      </c>
    </row>
    <row r="374">
      <c r="A374" s="20" t="inlineStr">
        <is>
          <t>4eme</t>
        </is>
      </c>
      <c r="B374" s="21" t="inlineStr">
        <is>
          <t>P2.3</t>
        </is>
      </c>
      <c r="C374" s="20" t="inlineStr">
        <is>
          <t>D.POUR</t>
        </is>
      </c>
      <c r="D374" s="21" t="inlineStr">
        <is>
          <t>PRC</t>
        </is>
      </c>
      <c r="E374" s="20" t="inlineStr">
        <is>
          <t>Ecrit 5 100 FCFA, puis 6 × 5 100 - 3 000 = 27 600 FCFA et « elle a tort »</t>
        </is>
      </c>
      <c r="F374" s="20" t="inlineStr">
        <is>
          <t>La démarche est juste mais 20 × 5 000 / 100 est mal calculé (100 au lieu de 1 000).</t>
        </is>
      </c>
    </row>
    <row r="375">
      <c r="A375" s="22" t="inlineStr">
        <is>
          <t>4eme</t>
        </is>
      </c>
      <c r="B375" s="23" t="inlineStr">
        <is>
          <t>P2.3</t>
        </is>
      </c>
      <c r="C375" s="22" t="inlineStr">
        <is>
          <t>D.POUR</t>
        </is>
      </c>
      <c r="D375" s="23" t="inlineStr">
        <is>
          <t>RED</t>
        </is>
      </c>
      <c r="E375" s="22" t="inlineStr">
        <is>
          <t>Ecrit « elle a raison » sans comparer 33 000 et 32 000 FCFA</t>
        </is>
      </c>
      <c r="F375" s="22" t="inlineStr">
        <is>
          <t>Le jugement est juste mais il n'est ni justifié ni rédigé en phrase de conclusion.</t>
        </is>
      </c>
    </row>
    <row r="376">
      <c r="A376" s="20" t="inlineStr">
        <is>
          <t>4eme</t>
        </is>
      </c>
      <c r="B376" s="21" t="inlineStr">
        <is>
          <t>P3.1</t>
        </is>
      </c>
      <c r="C376" s="20" t="inlineStr">
        <is>
          <t>M.ECH</t>
        </is>
      </c>
      <c r="D376" s="21" t="inlineStr">
        <is>
          <t>PRQ</t>
        </is>
      </c>
      <c r="E376" s="20" t="inlineStr">
        <is>
          <t>Ecrit 450 m et 300 m</t>
        </is>
      </c>
      <c r="F376" s="20" t="inlineStr">
        <is>
          <t>9 × 500 = 4 500 cm est juste mais divisé par 10 : la conversion des centimètres en mètres (primaire et 6ème) n'est pas acquise.</t>
        </is>
      </c>
    </row>
    <row r="377">
      <c r="A377" s="22" t="inlineStr">
        <is>
          <t>4eme</t>
        </is>
      </c>
      <c r="B377" s="23" t="inlineStr">
        <is>
          <t>P3.1</t>
        </is>
      </c>
      <c r="C377" s="22" t="inlineStr">
        <is>
          <t>M.ECH</t>
        </is>
      </c>
      <c r="D377" s="23" t="inlineStr">
        <is>
          <t>CPT</t>
        </is>
      </c>
      <c r="E377" s="22" t="inlineStr">
        <is>
          <t>Ecrit 0,018 et 0,012</t>
        </is>
      </c>
      <c r="F377" s="22" t="inlineStr">
        <is>
          <t>Les mesures du plan sont divisées par 500 : le sens de l'échelle est inversé.</t>
        </is>
      </c>
    </row>
    <row r="378">
      <c r="A378" s="20" t="inlineStr">
        <is>
          <t>4eme</t>
        </is>
      </c>
      <c r="B378" s="21" t="inlineStr">
        <is>
          <t>P3.1</t>
        </is>
      </c>
      <c r="C378" s="20" t="inlineStr">
        <is>
          <t>M.ECH</t>
        </is>
      </c>
      <c r="D378" s="21" t="inlineStr">
        <is>
          <t>PRC</t>
        </is>
      </c>
      <c r="E378" s="20" t="inlineStr">
        <is>
          <t>Ecrit 4 500 m et 3 000 m</t>
        </is>
      </c>
      <c r="F378" s="20" t="inlineStr">
        <is>
          <t>Le produit par 500 est juste mais la conversion des centimètres en mètres est omise.</t>
        </is>
      </c>
    </row>
    <row r="379">
      <c r="A379" s="22" t="inlineStr">
        <is>
          <t>4eme</t>
        </is>
      </c>
      <c r="B379" s="23" t="inlineStr">
        <is>
          <t>P3.1</t>
        </is>
      </c>
      <c r="C379" s="22" t="inlineStr">
        <is>
          <t>M.ECH</t>
        </is>
      </c>
      <c r="D379" s="23" t="inlineStr">
        <is>
          <t>MOD</t>
        </is>
      </c>
      <c r="E379" s="22" t="inlineStr">
        <is>
          <t>Ecrit 9 × 6 × 500 = 27 000</t>
        </is>
      </c>
      <c r="F379" s="22" t="inlineStr">
        <is>
          <t>Une aire est calculée au lieu des deux dimensions demandées : la question n'est pas traduite.</t>
        </is>
      </c>
    </row>
    <row r="380">
      <c r="A380" s="20" t="inlineStr">
        <is>
          <t>4eme</t>
        </is>
      </c>
      <c r="B380" s="21" t="inlineStr">
        <is>
          <t>P3.1</t>
        </is>
      </c>
      <c r="C380" s="20" t="inlineStr">
        <is>
          <t>M.ECH</t>
        </is>
      </c>
      <c r="D380" s="21" t="inlineStr">
        <is>
          <t>RED</t>
        </is>
      </c>
      <c r="E380" s="20" t="inlineStr">
        <is>
          <t>Ecrit 45 m et 30 m sans montrer l'emploi de l'échelle</t>
        </is>
      </c>
      <c r="F380" s="20" t="inlineStr">
        <is>
          <t>Les dimensions sont justes mais la démarche n'est pas montrée.</t>
        </is>
      </c>
    </row>
    <row r="381">
      <c r="A381" s="22" t="inlineStr">
        <is>
          <t>4eme</t>
        </is>
      </c>
      <c r="B381" s="23" t="inlineStr">
        <is>
          <t>P3.2</t>
        </is>
      </c>
      <c r="C381" s="22" t="inlineStr">
        <is>
          <t>N.PGCD</t>
        </is>
      </c>
      <c r="D381" s="23" t="inlineStr">
        <is>
          <t>CPT</t>
        </is>
      </c>
      <c r="E381" s="22" t="inlineStr">
        <is>
          <t>Ecrit un côté de 90 m</t>
        </is>
      </c>
      <c r="F381" s="22" t="inlineStr">
        <is>
          <t>Le PPCM de 45 et 30 est calculé au lieu du PGCD : les deux notions sont confondues.</t>
        </is>
      </c>
    </row>
    <row r="382">
      <c r="A382" s="20" t="inlineStr">
        <is>
          <t>4eme</t>
        </is>
      </c>
      <c r="B382" s="21" t="inlineStr">
        <is>
          <t>P3.2</t>
        </is>
      </c>
      <c r="C382" s="20" t="inlineStr">
        <is>
          <t>N.PGCD</t>
        </is>
      </c>
      <c r="D382" s="21" t="inlineStr">
        <is>
          <t>MOD</t>
        </is>
      </c>
      <c r="E382" s="20" t="inlineStr">
        <is>
          <t>Ecrit un côté de 3 m, soit 15 × 10 = 150 parcelles</t>
        </is>
      </c>
      <c r="F382" s="20" t="inlineStr">
        <is>
          <t>Un diviseur commun quelconque est choisi : « les plus grandes possibles » n'est pas traduit par le PGCD.</t>
        </is>
      </c>
    </row>
    <row r="383">
      <c r="A383" s="22" t="inlineStr">
        <is>
          <t>4eme</t>
        </is>
      </c>
      <c r="B383" s="23" t="inlineStr">
        <is>
          <t>P3.2</t>
        </is>
      </c>
      <c r="C383" s="22" t="inlineStr">
        <is>
          <t>N.PGCD</t>
        </is>
      </c>
      <c r="D383" s="23" t="inlineStr">
        <is>
          <t>PRC</t>
        </is>
      </c>
      <c r="E383" s="22" t="inlineStr">
        <is>
          <t>Ecrit PGCD = 5, côté de 5 m, soit 9 × 6 = 54 parcelles</t>
        </is>
      </c>
      <c r="F383" s="22" t="inlineStr">
        <is>
          <t>La méthode par décomposition est juste mais le facteur commun 3 est oublié.</t>
        </is>
      </c>
    </row>
    <row r="384">
      <c r="A384" s="20" t="inlineStr">
        <is>
          <t>4eme</t>
        </is>
      </c>
      <c r="B384" s="21" t="inlineStr">
        <is>
          <t>P3.2</t>
        </is>
      </c>
      <c r="C384" s="20" t="inlineStr">
        <is>
          <t>N.PGCD</t>
        </is>
      </c>
      <c r="D384" s="21" t="inlineStr">
        <is>
          <t>PRQ</t>
        </is>
      </c>
      <c r="E384" s="20" t="inlineStr">
        <is>
          <t>Ecrit un côté de 15 m, puis 3 + 2 = 5 parcelles</t>
        </is>
      </c>
      <c r="F384" s="20" t="inlineStr">
        <is>
          <t>Le PGCD est juste mais le dénombrement d'un quadrillage 3 sur 2 se fait par addition : le sens de la multiplication (primaire) n'est pas acquis.</t>
        </is>
      </c>
    </row>
    <row r="385">
      <c r="A385" s="22" t="inlineStr">
        <is>
          <t>4eme</t>
        </is>
      </c>
      <c r="B385" s="23" t="inlineStr">
        <is>
          <t>P3.2</t>
        </is>
      </c>
      <c r="C385" s="22" t="inlineStr">
        <is>
          <t>N.PGCD</t>
        </is>
      </c>
      <c r="D385" s="23" t="inlineStr">
        <is>
          <t>RED</t>
        </is>
      </c>
      <c r="E385" s="22" t="inlineStr">
        <is>
          <t>Ecrit 15 m et 6 parcelles sans dire que 15 est le PGCD de 45 et 30</t>
        </is>
      </c>
      <c r="F385" s="22" t="inlineStr">
        <is>
          <t>Les résultats sont justes mais le choix du côté n'est pas justifié.</t>
        </is>
      </c>
    </row>
    <row r="386">
      <c r="A386" s="20" t="inlineStr">
        <is>
          <t>4eme</t>
        </is>
      </c>
      <c r="B386" s="21" t="inlineStr">
        <is>
          <t>P3.3</t>
        </is>
      </c>
      <c r="C386" s="20" t="inlineStr">
        <is>
          <t>D.PROP</t>
        </is>
      </c>
      <c r="D386" s="21" t="inlineStr">
        <is>
          <t>PRQ</t>
        </is>
      </c>
      <c r="E386" s="20" t="inlineStr">
        <is>
          <t>Ecrit 45 + 30 = 75 m, puis 75 × 1 200 = 90 000 FCFA</t>
        </is>
      </c>
      <c r="F386" s="20" t="inlineStr">
        <is>
          <t>Le prix au mètre est bien appliqué mais le périmètre est réduit à la somme de deux côtés : le périmètre du rectangle (primaire et 6ème) n'est pas acquis.</t>
        </is>
      </c>
    </row>
    <row r="387">
      <c r="A387" s="22" t="inlineStr">
        <is>
          <t>4eme</t>
        </is>
      </c>
      <c r="B387" s="23" t="inlineStr">
        <is>
          <t>P3.3</t>
        </is>
      </c>
      <c r="C387" s="22" t="inlineStr">
        <is>
          <t>D.PROP</t>
        </is>
      </c>
      <c r="D387" s="23" t="inlineStr">
        <is>
          <t>MOD</t>
        </is>
      </c>
      <c r="E387" s="22" t="inlineStr">
        <is>
          <t>Ecrit 45 × 30 = 1 350, puis 1 350 × 1 200 = 1 620 000 FCFA, budget insuffisant</t>
        </is>
      </c>
      <c r="F387" s="22" t="inlineStr">
        <is>
          <t>L'aire est calculée au lieu de la longueur à clôturer : la situation n'est pas traduite.</t>
        </is>
      </c>
    </row>
    <row r="388">
      <c r="A388" s="20" t="inlineStr">
        <is>
          <t>4eme</t>
        </is>
      </c>
      <c r="B388" s="21" t="inlineStr">
        <is>
          <t>P3.3</t>
        </is>
      </c>
      <c r="C388" s="20" t="inlineStr">
        <is>
          <t>D.PROP</t>
        </is>
      </c>
      <c r="D388" s="21" t="inlineStr">
        <is>
          <t>PRC</t>
        </is>
      </c>
      <c r="E388" s="20" t="inlineStr">
        <is>
          <t>Ecrit 150 × 1 200 = 18 000 FCFA</t>
        </is>
      </c>
      <c r="F388" s="20" t="inlineStr">
        <is>
          <t>Le périmètre et la démarche sont justes mais le produit perd un zéro.</t>
        </is>
      </c>
    </row>
    <row r="389">
      <c r="A389" s="22" t="inlineStr">
        <is>
          <t>4eme</t>
        </is>
      </c>
      <c r="B389" s="23" t="inlineStr">
        <is>
          <t>P3.3</t>
        </is>
      </c>
      <c r="C389" s="22" t="inlineStr">
        <is>
          <t>D.PROP</t>
        </is>
      </c>
      <c r="D389" s="23" t="inlineStr">
        <is>
          <t>RED</t>
        </is>
      </c>
      <c r="E389" s="22" t="inlineStr">
        <is>
          <t>Ecrit « le budget suffit » sans comparer 180 000 et 200 000 FCFA</t>
        </is>
      </c>
      <c r="F389" s="22" t="inlineStr">
        <is>
          <t>La décision est juste mais elle n'est ni justifiée ni rédigée en phrase.</t>
        </is>
      </c>
    </row>
    <row r="390">
      <c r="A390" s="20" t="inlineStr">
        <is>
          <t>3eme</t>
        </is>
      </c>
      <c r="B390" s="21" t="inlineStr">
        <is>
          <t>N1</t>
        </is>
      </c>
      <c r="C390" s="20" t="inlineStr">
        <is>
          <t>N.ENS</t>
        </is>
      </c>
      <c r="D390" s="21" t="inlineStr">
        <is>
          <t>CPT</t>
        </is>
      </c>
      <c r="E390" s="20" t="inlineStr">
        <is>
          <t>Ecrit « aucun »</t>
        </is>
      </c>
      <c r="F390" s="20" t="inlineStr">
        <is>
          <t>L'élève croit qu'une écriture fractionnaire ne peut pas désigner un entier : il ne voit pas que -20/4 = -5.</t>
        </is>
      </c>
    </row>
    <row r="391">
      <c r="A391" s="22" t="inlineStr">
        <is>
          <t>3eme</t>
        </is>
      </c>
      <c r="B391" s="23" t="inlineStr">
        <is>
          <t>N1</t>
        </is>
      </c>
      <c r="C391" s="22" t="inlineStr">
        <is>
          <t>N.ENS</t>
        </is>
      </c>
      <c r="D391" s="23" t="inlineStr">
        <is>
          <t>CPT</t>
        </is>
      </c>
      <c r="E391" s="22" t="inlineStr">
        <is>
          <t>Ecrit 3,75</t>
        </is>
      </c>
      <c r="F391" s="22" t="inlineStr">
        <is>
          <t>ℤ est confondu avec l'ensemble des décimaux : l'écriture sans barre de fraction suffit à l'élève.</t>
        </is>
      </c>
    </row>
    <row r="392">
      <c r="A392" s="20" t="inlineStr">
        <is>
          <t>3eme</t>
        </is>
      </c>
      <c r="B392" s="21" t="inlineStr">
        <is>
          <t>N1</t>
        </is>
      </c>
      <c r="C392" s="20" t="inlineStr">
        <is>
          <t>N.ENS</t>
        </is>
      </c>
      <c r="D392" s="21" t="inlineStr">
        <is>
          <t>CNS</t>
        </is>
      </c>
      <c r="E392" s="20" t="inlineStr">
        <is>
          <t>Ecrit 7/2</t>
        </is>
      </c>
      <c r="F392" s="20" t="inlineStr">
        <is>
          <t>Le symbole ℤ n'est pas identifié comme l'ensemble des entiers relatifs : la réponse est choisie au hasard parmi les fractions.</t>
        </is>
      </c>
    </row>
    <row r="393">
      <c r="A393" s="22" t="inlineStr">
        <is>
          <t>3eme</t>
        </is>
      </c>
      <c r="B393" s="23" t="inlineStr">
        <is>
          <t>N2</t>
        </is>
      </c>
      <c r="C393" s="22" t="inlineStr">
        <is>
          <t>N.SCI</t>
        </is>
      </c>
      <c r="D393" s="23" t="inlineStr">
        <is>
          <t>CPT</t>
        </is>
      </c>
      <c r="E393" s="22" t="inlineStr">
        <is>
          <t>Ecrit 6,05 × 10⁵</t>
        </is>
      </c>
      <c r="F393" s="22" t="inlineStr">
        <is>
          <t>L'exposant est pris positif pour un nombre inférieur à 1 : le sens du décalage de la virgule n'est pas compris.</t>
        </is>
      </c>
    </row>
    <row r="394">
      <c r="A394" s="20" t="inlineStr">
        <is>
          <t>3eme</t>
        </is>
      </c>
      <c r="B394" s="21" t="inlineStr">
        <is>
          <t>N2</t>
        </is>
      </c>
      <c r="C394" s="20" t="inlineStr">
        <is>
          <t>N.SCI</t>
        </is>
      </c>
      <c r="D394" s="21" t="inlineStr">
        <is>
          <t>PRC</t>
        </is>
      </c>
      <c r="E394" s="20" t="inlineStr">
        <is>
          <t>Ecrit 6,05 × 10⁻⁴</t>
        </is>
      </c>
      <c r="F394" s="20" t="inlineStr">
        <is>
          <t>La forme est bien choisie mais le décalage de la virgule est mal compté (4 rangs au lieu de 5).</t>
        </is>
      </c>
    </row>
    <row r="395">
      <c r="A395" s="22" t="inlineStr">
        <is>
          <t>3eme</t>
        </is>
      </c>
      <c r="B395" s="23" t="inlineStr">
        <is>
          <t>N2</t>
        </is>
      </c>
      <c r="C395" s="22" t="inlineStr">
        <is>
          <t>N.SCI</t>
        </is>
      </c>
      <c r="D395" s="23" t="inlineStr">
        <is>
          <t>CNS</t>
        </is>
      </c>
      <c r="E395" s="22" t="inlineStr">
        <is>
          <t>Ecrit 605 × 10⁻⁷</t>
        </is>
      </c>
      <c r="F395" s="22" t="inlineStr">
        <is>
          <t>La valeur est juste mais la condition 1 ≤ a &lt; 10 sur la mantisse n'est pas mobilisée.</t>
        </is>
      </c>
    </row>
    <row r="396">
      <c r="A396" s="20" t="inlineStr">
        <is>
          <t>3eme</t>
        </is>
      </c>
      <c r="B396" s="21" t="inlineStr">
        <is>
          <t>N2</t>
        </is>
      </c>
      <c r="C396" s="20" t="inlineStr">
        <is>
          <t>N.SCI</t>
        </is>
      </c>
      <c r="D396" s="21" t="inlineStr">
        <is>
          <t>ATT</t>
        </is>
      </c>
      <c r="E396" s="20" t="inlineStr">
        <is>
          <t>Ecrit 6,5 × 10⁻⁵</t>
        </is>
      </c>
      <c r="F396" s="20" t="inlineStr">
        <is>
          <t>Le zéro de 6,05 est perdu à la recopie alors que la puissance de dix est juste.</t>
        </is>
      </c>
    </row>
    <row r="397">
      <c r="A397" s="22" t="inlineStr">
        <is>
          <t>3eme</t>
        </is>
      </c>
      <c r="B397" s="23" t="inlineStr">
        <is>
          <t>N3</t>
        </is>
      </c>
      <c r="C397" s="22" t="inlineStr">
        <is>
          <t>N.APP</t>
        </is>
      </c>
      <c r="D397" s="23" t="inlineStr">
        <is>
          <t>CPT</t>
        </is>
      </c>
      <c r="E397" s="22" t="inlineStr">
        <is>
          <t>Entoure a) 7,8</t>
        </is>
      </c>
      <c r="F397" s="22" t="inlineStr">
        <is>
          <t>Approximation par défaut et approximation par excès sont confondues.</t>
        </is>
      </c>
    </row>
    <row r="398">
      <c r="A398" s="20" t="inlineStr">
        <is>
          <t>3eme</t>
        </is>
      </c>
      <c r="B398" s="21" t="inlineStr">
        <is>
          <t>N3</t>
        </is>
      </c>
      <c r="C398" s="20" t="inlineStr">
        <is>
          <t>N.APP</t>
        </is>
      </c>
      <c r="D398" s="21" t="inlineStr">
        <is>
          <t>CNS</t>
        </is>
      </c>
      <c r="E398" s="20" t="inlineStr">
        <is>
          <t>Entoure c) 7,83</t>
        </is>
      </c>
      <c r="F398" s="20" t="inlineStr">
        <is>
          <t>La précision « à 10⁻¹ près » n'est pas comprise : l'élève donne deux décimales.</t>
        </is>
      </c>
    </row>
    <row r="399">
      <c r="A399" s="22" t="inlineStr">
        <is>
          <t>3eme</t>
        </is>
      </c>
      <c r="B399" s="23" t="inlineStr">
        <is>
          <t>N3</t>
        </is>
      </c>
      <c r="C399" s="22" t="inlineStr">
        <is>
          <t>N.APP</t>
        </is>
      </c>
      <c r="D399" s="23" t="inlineStr">
        <is>
          <t>CPT</t>
        </is>
      </c>
      <c r="E399" s="22" t="inlineStr">
        <is>
          <t>Entoure d) 7,7</t>
        </is>
      </c>
      <c r="F399" s="22" t="inlineStr">
        <is>
          <t>Le sens de l'approximation par excès est inversé : la valeur choisie est inférieure à 47/6.</t>
        </is>
      </c>
    </row>
    <row r="400">
      <c r="A400" s="20" t="inlineStr">
        <is>
          <t>3eme</t>
        </is>
      </c>
      <c r="B400" s="21" t="inlineStr">
        <is>
          <t>N4</t>
        </is>
      </c>
      <c r="C400" s="20" t="inlineStr">
        <is>
          <t>N.RAT</t>
        </is>
      </c>
      <c r="D400" s="21" t="inlineStr">
        <is>
          <t>CPT</t>
        </is>
      </c>
      <c r="E400" s="20" t="inlineStr">
        <is>
          <t>Entoure a) -147/32</t>
        </is>
      </c>
      <c r="F400" s="20" t="inlineStr">
        <is>
          <t>Diviser par une fraction est confondu avec multiplier par cette fraction.</t>
        </is>
      </c>
    </row>
    <row r="401">
      <c r="A401" s="22" t="inlineStr">
        <is>
          <t>3eme</t>
        </is>
      </c>
      <c r="B401" s="23" t="inlineStr">
        <is>
          <t>N4</t>
        </is>
      </c>
      <c r="C401" s="22" t="inlineStr">
        <is>
          <t>N.RAT</t>
        </is>
      </c>
      <c r="D401" s="23" t="inlineStr">
        <is>
          <t>CPT</t>
        </is>
      </c>
      <c r="E401" s="22" t="inlineStr">
        <is>
          <t>Entoure b) -3/2</t>
        </is>
      </c>
      <c r="F401" s="22" t="inlineStr">
        <is>
          <t>L'élève inverse la première fraction au lieu de la seconde : la règle « multiplier par l'inverse du diviseur » est remplacée par une règle fausse appliquée de façon cohérente.</t>
        </is>
      </c>
    </row>
    <row r="402">
      <c r="A402" s="20" t="inlineStr">
        <is>
          <t>3eme</t>
        </is>
      </c>
      <c r="B402" s="21" t="inlineStr">
        <is>
          <t>N4</t>
        </is>
      </c>
      <c r="C402" s="20" t="inlineStr">
        <is>
          <t>N.RAT</t>
        </is>
      </c>
      <c r="D402" s="21" t="inlineStr">
        <is>
          <t>PRC</t>
        </is>
      </c>
      <c r="E402" s="20" t="inlineStr">
        <is>
          <t>Entoure d) 2/3</t>
        </is>
      </c>
      <c r="F402" s="20" t="inlineStr">
        <is>
          <t>Le calcul en valeur absolue est juste mais le signe du quotient est perdu.</t>
        </is>
      </c>
    </row>
    <row r="403">
      <c r="A403" s="22" t="inlineStr">
        <is>
          <t>3eme</t>
        </is>
      </c>
      <c r="B403" s="23" t="inlineStr">
        <is>
          <t>L1</t>
        </is>
      </c>
      <c r="C403" s="22" t="inlineStr">
        <is>
          <t>L.DEV1</t>
        </is>
      </c>
      <c r="D403" s="23" t="inlineStr">
        <is>
          <t>CPT</t>
        </is>
      </c>
      <c r="E403" s="22" t="inlineStr">
        <is>
          <t>Ecrit 6x² - 5</t>
        </is>
      </c>
      <c r="F403" s="22" t="inlineStr">
        <is>
          <t>Seuls les premiers termes et les derniers termes sont multipliés : la double distributivité est réduite à deux produits.</t>
        </is>
      </c>
    </row>
    <row r="404">
      <c r="A404" s="20" t="inlineStr">
        <is>
          <t>3eme</t>
        </is>
      </c>
      <c r="B404" s="21" t="inlineStr">
        <is>
          <t>L1</t>
        </is>
      </c>
      <c r="C404" s="20" t="inlineStr">
        <is>
          <t>L.DEV1</t>
        </is>
      </c>
      <c r="D404" s="21" t="inlineStr">
        <is>
          <t>PRC</t>
        </is>
      </c>
      <c r="E404" s="20" t="inlineStr">
        <is>
          <t>Ecrit 6x² + 17x - 5</t>
        </is>
      </c>
      <c r="F404" s="20" t="inlineStr">
        <is>
          <t>Les quatre produits sont posés mais 2x × (-1) est écrit +2x : erreur de signe dans l'exécution.</t>
        </is>
      </c>
    </row>
    <row r="405">
      <c r="A405" s="22" t="inlineStr">
        <is>
          <t>3eme</t>
        </is>
      </c>
      <c r="B405" s="23" t="inlineStr">
        <is>
          <t>L1</t>
        </is>
      </c>
      <c r="C405" s="22" t="inlineStr">
        <is>
          <t>L.DEV1</t>
        </is>
      </c>
      <c r="D405" s="23" t="inlineStr">
        <is>
          <t>PRC</t>
        </is>
      </c>
      <c r="E405" s="22" t="inlineStr">
        <is>
          <t>Ecrit 6x² + 15x - 5</t>
        </is>
      </c>
      <c r="F405" s="22" t="inlineStr">
        <is>
          <t>Le produit 2x × (-1) est oublié : une étape de la double distributivité est omise.</t>
        </is>
      </c>
    </row>
    <row r="406">
      <c r="A406" s="20" t="inlineStr">
        <is>
          <t>3eme</t>
        </is>
      </c>
      <c r="B406" s="21" t="inlineStr">
        <is>
          <t>L1</t>
        </is>
      </c>
      <c r="C406" s="20" t="inlineStr">
        <is>
          <t>L.DEV1</t>
        </is>
      </c>
      <c r="D406" s="21" t="inlineStr">
        <is>
          <t>PRQ</t>
        </is>
      </c>
      <c r="E406" s="20" t="inlineStr">
        <is>
          <t>Ecrit 19x - 5</t>
        </is>
      </c>
      <c r="F406" s="20" t="inlineStr">
        <is>
          <t>2x × 3x est écrit 6x au lieu de 6x² : le produit x × x = x², acquis de 4ème, n'est pas maîtrisé.</t>
        </is>
      </c>
    </row>
    <row r="407">
      <c r="A407" s="22" t="inlineStr">
        <is>
          <t>3eme</t>
        </is>
      </c>
      <c r="B407" s="23" t="inlineStr">
        <is>
          <t>L2</t>
        </is>
      </c>
      <c r="C407" s="22" t="inlineStr">
        <is>
          <t>L.FAC1</t>
        </is>
      </c>
      <c r="D407" s="23" t="inlineStr">
        <is>
          <t>CPT</t>
        </is>
      </c>
      <c r="E407" s="22" t="inlineStr">
        <is>
          <t>Ecrit (x - 3)(2x + 1)(x + 4)</t>
        </is>
      </c>
      <c r="F407" s="22" t="inlineStr">
        <is>
          <t>Le facteur commun est bien repéré mais les facteurs restants sont multipliés au lieu d'être additionnés.</t>
        </is>
      </c>
    </row>
    <row r="408">
      <c r="A408" s="20" t="inlineStr">
        <is>
          <t>3eme</t>
        </is>
      </c>
      <c r="B408" s="21" t="inlineStr">
        <is>
          <t>L2</t>
        </is>
      </c>
      <c r="C408" s="20" t="inlineStr">
        <is>
          <t>L.FAC1</t>
        </is>
      </c>
      <c r="D408" s="21" t="inlineStr">
        <is>
          <t>CNS</t>
        </is>
      </c>
      <c r="E408" s="20" t="inlineStr">
        <is>
          <t>Ecrit 3x² - 4x - 15</t>
        </is>
      </c>
      <c r="F408" s="20" t="inlineStr">
        <is>
          <t>L'élève développe tout : la mise en évidence d'un facteur commun n'est pas disponible.</t>
        </is>
      </c>
    </row>
    <row r="409">
      <c r="A409" s="22" t="inlineStr">
        <is>
          <t>3eme</t>
        </is>
      </c>
      <c r="B409" s="23" t="inlineStr">
        <is>
          <t>L2</t>
        </is>
      </c>
      <c r="C409" s="22" t="inlineStr">
        <is>
          <t>L.FAC1</t>
        </is>
      </c>
      <c r="D409" s="23" t="inlineStr">
        <is>
          <t>PRQ</t>
        </is>
      </c>
      <c r="E409" s="22" t="inlineStr">
        <is>
          <t>Ecrit (x - 3)(2x² + 5)</t>
        </is>
      </c>
      <c r="F409" s="22" t="inlineStr">
        <is>
          <t>2x + x est réduit en 2x² : la réduction des termes semblables, acquise en 4ème, fait défaut.</t>
        </is>
      </c>
    </row>
    <row r="410">
      <c r="A410" s="20" t="inlineStr">
        <is>
          <t>3eme</t>
        </is>
      </c>
      <c r="B410" s="21" t="inlineStr">
        <is>
          <t>L3</t>
        </is>
      </c>
      <c r="C410" s="20" t="inlineStr">
        <is>
          <t>L.EQ1</t>
        </is>
      </c>
      <c r="D410" s="21" t="inlineStr">
        <is>
          <t>PRC</t>
        </is>
      </c>
      <c r="E410" s="20" t="inlineStr">
        <is>
          <t>Ecrit x = 7</t>
        </is>
      </c>
      <c r="F410" s="20" t="inlineStr">
        <is>
          <t>La démarche (regrouper les termes en x) est juste mais 5x passe dans le premier membre sans changer de signe (3x = 21) : erreur de signe dans l'exécution, classée comme en L4, L7 et F1.</t>
        </is>
      </c>
    </row>
    <row r="411">
      <c r="A411" s="22" t="inlineStr">
        <is>
          <t>3eme</t>
        </is>
      </c>
      <c r="B411" s="23" t="inlineStr">
        <is>
          <t>L3</t>
        </is>
      </c>
      <c r="C411" s="22" t="inlineStr">
        <is>
          <t>L.EQ1</t>
        </is>
      </c>
      <c r="D411" s="23" t="inlineStr">
        <is>
          <t>PRC</t>
        </is>
      </c>
      <c r="E411" s="22" t="inlineStr">
        <is>
          <t>Ecrit x = 3</t>
        </is>
      </c>
      <c r="F411" s="22" t="inlineStr">
        <is>
          <t>L'équation -7x = 21 est juste mais le signe du quotient 21 ÷ (-7) est perdu.</t>
        </is>
      </c>
    </row>
    <row r="412">
      <c r="A412" s="20" t="inlineStr">
        <is>
          <t>3eme</t>
        </is>
      </c>
      <c r="B412" s="21" t="inlineStr">
        <is>
          <t>L3</t>
        </is>
      </c>
      <c r="C412" s="20" t="inlineStr">
        <is>
          <t>L.EQ1</t>
        </is>
      </c>
      <c r="D412" s="21" t="inlineStr">
        <is>
          <t>CNS</t>
        </is>
      </c>
      <c r="E412" s="20" t="inlineStr">
        <is>
          <t>Ecrit x = -1/3</t>
        </is>
      </c>
      <c r="F412" s="20" t="inlineStr">
        <is>
          <t>De -7x = 21 l'élève tire x = -7/21 : la règle « diviser par le coefficient de x » n'est pas disponible.</t>
        </is>
      </c>
    </row>
    <row r="413">
      <c r="A413" s="22" t="inlineStr">
        <is>
          <t>3eme</t>
        </is>
      </c>
      <c r="B413" s="23" t="inlineStr">
        <is>
          <t>L4</t>
        </is>
      </c>
      <c r="C413" s="22" t="inlineStr">
        <is>
          <t>L.INEQ1</t>
        </is>
      </c>
      <c r="D413" s="23" t="inlineStr">
        <is>
          <t>CPT</t>
        </is>
      </c>
      <c r="E413" s="22" t="inlineStr">
        <is>
          <t>Ecrit x &gt; -3</t>
        </is>
      </c>
      <c r="F413" s="22" t="inlineStr">
        <is>
          <t>Le sens de l'inégalité n'est pas changé lors de la division par -3.</t>
        </is>
      </c>
    </row>
    <row r="414">
      <c r="A414" s="20" t="inlineStr">
        <is>
          <t>3eme</t>
        </is>
      </c>
      <c r="B414" s="21" t="inlineStr">
        <is>
          <t>L4</t>
        </is>
      </c>
      <c r="C414" s="20" t="inlineStr">
        <is>
          <t>L.INEQ1</t>
        </is>
      </c>
      <c r="D414" s="21" t="inlineStr">
        <is>
          <t>PRC</t>
        </is>
      </c>
      <c r="E414" s="20" t="inlineStr">
        <is>
          <t>Ecrit x &lt; -13/3</t>
        </is>
      </c>
      <c r="F414" s="20" t="inlineStr">
        <is>
          <t>Le terme 2 passe dans le second membre sans changer de signe (-3x &gt; 13).</t>
        </is>
      </c>
    </row>
    <row r="415">
      <c r="A415" s="22" t="inlineStr">
        <is>
          <t>3eme</t>
        </is>
      </c>
      <c r="B415" s="23" t="inlineStr">
        <is>
          <t>L4</t>
        </is>
      </c>
      <c r="C415" s="22" t="inlineStr">
        <is>
          <t>L.INEQ1</t>
        </is>
      </c>
      <c r="D415" s="23" t="inlineStr">
        <is>
          <t>PRC</t>
        </is>
      </c>
      <c r="E415" s="22" t="inlineStr">
        <is>
          <t>Ecrit x &lt; 3</t>
        </is>
      </c>
      <c r="F415" s="22" t="inlineStr">
        <is>
          <t>Le sens est bien changé mais 9 ÷ (-3) est calculé +3 : erreur de signe dans le quotient.</t>
        </is>
      </c>
    </row>
    <row r="416">
      <c r="A416" s="20" t="inlineStr">
        <is>
          <t>3eme</t>
        </is>
      </c>
      <c r="B416" s="21" t="inlineStr">
        <is>
          <t>L4</t>
        </is>
      </c>
      <c r="C416" s="20" t="inlineStr">
        <is>
          <t>L.INEQ1</t>
        </is>
      </c>
      <c r="D416" s="21" t="inlineStr">
        <is>
          <t>CNS</t>
        </is>
      </c>
      <c r="E416" s="20" t="inlineStr">
        <is>
          <t>Ecrit x = -3</t>
        </is>
      </c>
      <c r="F416" s="20" t="inlineStr">
        <is>
          <t>L'inéquation est résolue comme une équation : la notion d'ensemble de solutions n'est pas mobilisée.</t>
        </is>
      </c>
    </row>
    <row r="417">
      <c r="A417" s="22" t="inlineStr">
        <is>
          <t>3eme</t>
        </is>
      </c>
      <c r="B417" s="23" t="inlineStr">
        <is>
          <t>G1</t>
        </is>
      </c>
      <c r="C417" s="22" t="inlineStr">
        <is>
          <t>G.ABS</t>
        </is>
      </c>
      <c r="D417" s="23" t="inlineStr">
        <is>
          <t>CPT</t>
        </is>
      </c>
      <c r="E417" s="22" t="inlineStr">
        <is>
          <t>Ecrit -7</t>
        </is>
      </c>
      <c r="F417" s="22" t="inlineStr">
        <is>
          <t>La distance est confondue avec la différence -11 - (-4) : une distance est toujours positive.</t>
        </is>
      </c>
    </row>
    <row r="418">
      <c r="A418" s="20" t="inlineStr">
        <is>
          <t>3eme</t>
        </is>
      </c>
      <c r="B418" s="21" t="inlineStr">
        <is>
          <t>G1</t>
        </is>
      </c>
      <c r="C418" s="20" t="inlineStr">
        <is>
          <t>G.ABS</t>
        </is>
      </c>
      <c r="D418" s="21" t="inlineStr">
        <is>
          <t>PRQ</t>
        </is>
      </c>
      <c r="E418" s="20" t="inlineStr">
        <is>
          <t>Ecrit 15</t>
        </is>
      </c>
      <c r="F418" s="20" t="inlineStr">
        <is>
          <t>-4 - (-11) est calculé comme 4 + 11 : la soustraction de deux relatifs, acquis de 5ème, n'est pas maîtrisée.</t>
        </is>
      </c>
    </row>
    <row r="419">
      <c r="A419" s="22" t="inlineStr">
        <is>
          <t>3eme</t>
        </is>
      </c>
      <c r="B419" s="23" t="inlineStr">
        <is>
          <t>G1</t>
        </is>
      </c>
      <c r="C419" s="22" t="inlineStr">
        <is>
          <t>G.ABS</t>
        </is>
      </c>
      <c r="D419" s="23" t="inlineStr">
        <is>
          <t>CNS</t>
        </is>
      </c>
      <c r="E419" s="22" t="inlineStr">
        <is>
          <t>Ecrit 11</t>
        </is>
      </c>
      <c r="F419" s="22" t="inlineStr">
        <is>
          <t>L'élève donne l'abscisse de D : le lien entre distance et différence des abscisses n'est pas disponible.</t>
        </is>
      </c>
    </row>
    <row r="420">
      <c r="A420" s="20" t="inlineStr">
        <is>
          <t>3eme</t>
        </is>
      </c>
      <c r="B420" s="21" t="inlineStr">
        <is>
          <t>G2</t>
        </is>
      </c>
      <c r="C420" s="20" t="inlineStr">
        <is>
          <t>G.VEC</t>
        </is>
      </c>
      <c r="D420" s="21" t="inlineStr">
        <is>
          <t>CPT</t>
        </is>
      </c>
      <c r="E420" s="20" t="inlineStr">
        <is>
          <t>Entoure a) vecteur NP</t>
        </is>
      </c>
      <c r="F420" s="20" t="inlineStr">
        <is>
          <t>La somme est enchaînée dans l'ordre d'écriture, sans placer l'extrémité du premier vecteur à l'origine du second.</t>
        </is>
      </c>
    </row>
    <row r="421">
      <c r="A421" s="22" t="inlineStr">
        <is>
          <t>3eme</t>
        </is>
      </c>
      <c r="B421" s="23" t="inlineStr">
        <is>
          <t>G2</t>
        </is>
      </c>
      <c r="C421" s="22" t="inlineStr">
        <is>
          <t>G.VEC</t>
        </is>
      </c>
      <c r="D421" s="23" t="inlineStr">
        <is>
          <t>CNS</t>
        </is>
      </c>
      <c r="E421" s="22" t="inlineStr">
        <is>
          <t>Entoure b) vecteur MP</t>
        </is>
      </c>
      <c r="F421" s="22" t="inlineStr">
        <is>
          <t>La relation de Chasles n'est pas disponible : les origines sont assemblées au hasard.</t>
        </is>
      </c>
    </row>
    <row r="422">
      <c r="A422" s="20" t="inlineStr">
        <is>
          <t>3eme</t>
        </is>
      </c>
      <c r="B422" s="21" t="inlineStr">
        <is>
          <t>G2</t>
        </is>
      </c>
      <c r="C422" s="20" t="inlineStr">
        <is>
          <t>G.VEC</t>
        </is>
      </c>
      <c r="D422" s="21" t="inlineStr">
        <is>
          <t>CNS</t>
        </is>
      </c>
      <c r="E422" s="20" t="inlineStr">
        <is>
          <t>Entoure c) vecteur NM</t>
        </is>
      </c>
      <c r="F422" s="20" t="inlineStr">
        <is>
          <t>La relation de Chasles n'est pas disponible : les extrémités sont assemblées au hasard.</t>
        </is>
      </c>
    </row>
    <row r="423">
      <c r="A423" s="22" t="inlineStr">
        <is>
          <t>3eme</t>
        </is>
      </c>
      <c r="B423" s="23" t="inlineStr">
        <is>
          <t>G3</t>
        </is>
      </c>
      <c r="C423" s="22" t="inlineStr">
        <is>
          <t>G.REP</t>
        </is>
      </c>
      <c r="D423" s="23" t="inlineStr">
        <is>
          <t>CNS</t>
        </is>
      </c>
      <c r="E423" s="22" t="inlineStr">
        <is>
          <t>Ecrit K(-4 ; -4)</t>
        </is>
      </c>
      <c r="F423" s="22" t="inlineStr">
        <is>
          <t>Les sommes des coordonnées ne sont pas divisées par 2 : la formule du milieu est incomplète.</t>
        </is>
      </c>
    </row>
    <row r="424">
      <c r="A424" s="20" t="inlineStr">
        <is>
          <t>3eme</t>
        </is>
      </c>
      <c r="B424" s="21" t="inlineStr">
        <is>
          <t>G3</t>
        </is>
      </c>
      <c r="C424" s="20" t="inlineStr">
        <is>
          <t>G.REP</t>
        </is>
      </c>
      <c r="D424" s="21" t="inlineStr">
        <is>
          <t>CPT</t>
        </is>
      </c>
      <c r="E424" s="20" t="inlineStr">
        <is>
          <t>Ecrit K(3 ; -5)</t>
        </is>
      </c>
      <c r="F424" s="20" t="inlineStr">
        <is>
          <t>Les demi-différences (1 - (-5))/2 et (-7 - 3)/2 sont calculées : milieu et coordonnées d'un vecteur sont confondus.</t>
        </is>
      </c>
    </row>
    <row r="425">
      <c r="A425" s="22" t="inlineStr">
        <is>
          <t>3eme</t>
        </is>
      </c>
      <c r="B425" s="23" t="inlineStr">
        <is>
          <t>G3</t>
        </is>
      </c>
      <c r="C425" s="22" t="inlineStr">
        <is>
          <t>G.REP</t>
        </is>
      </c>
      <c r="D425" s="23" t="inlineStr">
        <is>
          <t>PRQ</t>
        </is>
      </c>
      <c r="E425" s="22" t="inlineStr">
        <is>
          <t>Ecrit K(-3 ; -2)</t>
        </is>
      </c>
      <c r="F425" s="22" t="inlineStr">
        <is>
          <t>-5 + 1 est calculé -6 : l'addition de deux relatifs de signes contraires, acquis de 5ème, n'est pas maîtrisée.</t>
        </is>
      </c>
    </row>
    <row r="426">
      <c r="A426" s="20" t="inlineStr">
        <is>
          <t>3eme</t>
        </is>
      </c>
      <c r="B426" s="21" t="inlineStr">
        <is>
          <t>G4</t>
        </is>
      </c>
      <c r="C426" s="20" t="inlineStr">
        <is>
          <t>G.TRANS</t>
        </is>
      </c>
      <c r="D426" s="21" t="inlineStr">
        <is>
          <t>CPT</t>
        </is>
      </c>
      <c r="E426" s="20" t="inlineStr">
        <is>
          <t>Ecrit « D »</t>
        </is>
      </c>
      <c r="F426" s="20" t="inlineStr">
        <is>
          <t>La translation est confondue avec la symétrie de centre le centre du parallélogramme, qui envoie B sur D.</t>
        </is>
      </c>
    </row>
    <row r="427">
      <c r="A427" s="22" t="inlineStr">
        <is>
          <t>3eme</t>
        </is>
      </c>
      <c r="B427" s="23" t="inlineStr">
        <is>
          <t>G4</t>
        </is>
      </c>
      <c r="C427" s="22" t="inlineStr">
        <is>
          <t>G.VEC</t>
        </is>
      </c>
      <c r="D427" s="23" t="inlineStr">
        <is>
          <t>CNS</t>
        </is>
      </c>
      <c r="E427" s="22" t="inlineStr">
        <is>
          <t>Laisse vide ou nomme un point B' sans le situer</t>
        </is>
      </c>
      <c r="F427" s="22" t="inlineStr">
        <is>
          <t>L'égalité vecteur AD = vecteur BC dans le parallélogramme n'est pas mobilisée pour trouver l'image.</t>
        </is>
      </c>
    </row>
    <row r="428">
      <c r="A428" s="20" t="inlineStr">
        <is>
          <t>3eme</t>
        </is>
      </c>
      <c r="B428" s="21" t="inlineStr">
        <is>
          <t>G5</t>
        </is>
      </c>
      <c r="C428" s="20" t="inlineStr">
        <is>
          <t>G.PROJ</t>
        </is>
      </c>
      <c r="D428" s="21" t="inlineStr">
        <is>
          <t>CPT</t>
        </is>
      </c>
      <c r="E428" s="20" t="inlineStr">
        <is>
          <t>Ecrit 1,8 cm</t>
        </is>
      </c>
      <c r="F428" s="20" t="inlineStr">
        <is>
          <t>Le théorème des milieux est appliqué à l'envers : IJ est divisé par 2 au lieu d'être doublé.</t>
        </is>
      </c>
    </row>
    <row r="429">
      <c r="A429" s="22" t="inlineStr">
        <is>
          <t>3eme</t>
        </is>
      </c>
      <c r="B429" s="23" t="inlineStr">
        <is>
          <t>G5</t>
        </is>
      </c>
      <c r="C429" s="22" t="inlineStr">
        <is>
          <t>G.PROJ</t>
        </is>
      </c>
      <c r="D429" s="23" t="inlineStr">
        <is>
          <t>CNS</t>
        </is>
      </c>
      <c r="E429" s="22" t="inlineStr">
        <is>
          <t>Ecrit 3,6 cm</t>
        </is>
      </c>
      <c r="F429" s="22" t="inlineStr">
        <is>
          <t>Le théorème des milieux n'est pas mobilisé : BC est pris égal à IJ.</t>
        </is>
      </c>
    </row>
    <row r="430">
      <c r="A430" s="20" t="inlineStr">
        <is>
          <t>3eme</t>
        </is>
      </c>
      <c r="B430" s="21" t="inlineStr">
        <is>
          <t>G5</t>
        </is>
      </c>
      <c r="C430" s="20" t="inlineStr">
        <is>
          <t>G.PROJ</t>
        </is>
      </c>
      <c r="D430" s="21" t="inlineStr">
        <is>
          <t>PRC</t>
        </is>
      </c>
      <c r="E430" s="20" t="inlineStr">
        <is>
          <t>Ecrit 6,12 cm</t>
        </is>
      </c>
      <c r="F430" s="20" t="inlineStr">
        <is>
          <t>Le doublement est bien choisi mais 3,6 × 2 est calculé chiffre par chiffre (3 × 2 = 6 et 6 × 2 = 12).</t>
        </is>
      </c>
    </row>
    <row r="431">
      <c r="A431" s="22" t="inlineStr">
        <is>
          <t>3eme</t>
        </is>
      </c>
      <c r="B431" s="23" t="inlineStr">
        <is>
          <t>G6</t>
        </is>
      </c>
      <c r="C431" s="22" t="inlineStr">
        <is>
          <t>G.POLY</t>
        </is>
      </c>
      <c r="D431" s="23" t="inlineStr">
        <is>
          <t>CNS</t>
        </is>
      </c>
      <c r="E431" s="22" t="inlineStr">
        <is>
          <t>Entoure a) 360 cm³</t>
        </is>
      </c>
      <c r="F431" s="22" t="inlineStr">
        <is>
          <t>Le volume de la pyramide est calculé comme celui d'un prisme : le facteur 1/3 n'est pas disponible.</t>
        </is>
      </c>
    </row>
    <row r="432">
      <c r="A432" s="20" t="inlineStr">
        <is>
          <t>3eme</t>
        </is>
      </c>
      <c r="B432" s="21" t="inlineStr">
        <is>
          <t>G6</t>
        </is>
      </c>
      <c r="C432" s="20" t="inlineStr">
        <is>
          <t>G.POLY</t>
        </is>
      </c>
      <c r="D432" s="21" t="inlineStr">
        <is>
          <t>CPT</t>
        </is>
      </c>
      <c r="E432" s="20" t="inlineStr">
        <is>
          <t>Entoure b) 80 cm³</t>
        </is>
      </c>
      <c r="F432" s="20" t="inlineStr">
        <is>
          <t>Aire et périmètre de la base carrée sont confondus.</t>
        </is>
      </c>
    </row>
    <row r="433">
      <c r="A433" s="22" t="inlineStr">
        <is>
          <t>3eme</t>
        </is>
      </c>
      <c r="B433" s="23" t="inlineStr">
        <is>
          <t>G6</t>
        </is>
      </c>
      <c r="C433" s="22" t="inlineStr">
        <is>
          <t>G.POLY</t>
        </is>
      </c>
      <c r="D433" s="23" t="inlineStr">
        <is>
          <t>CPT</t>
        </is>
      </c>
      <c r="E433" s="22" t="inlineStr">
        <is>
          <t>Entoure d) 60 cm³</t>
        </is>
      </c>
      <c r="F433" s="22" t="inlineStr">
        <is>
          <t>L'aire de base n'est pas distinguée de la longueur du côté.</t>
        </is>
      </c>
    </row>
    <row r="434">
      <c r="A434" s="20" t="inlineStr">
        <is>
          <t>3eme</t>
        </is>
      </c>
      <c r="B434" s="21" t="inlineStr">
        <is>
          <t>D1</t>
        </is>
      </c>
      <c r="C434" s="20" t="inlineStr">
        <is>
          <t>D.STAT1</t>
        </is>
      </c>
      <c r="D434" s="21" t="inlineStr">
        <is>
          <t>CPT</t>
        </is>
      </c>
      <c r="E434" s="20" t="inlineStr">
        <is>
          <t>Ecrit 11,5</t>
        </is>
      </c>
      <c r="F434" s="20" t="inlineStr">
        <is>
          <t>L'élève fait la moyenne des valeurs extrêmes (7 + 16) ÷ 2 : moyenne et milieu de l'étendue sont confondus.</t>
        </is>
      </c>
    </row>
    <row r="435">
      <c r="A435" s="22" t="inlineStr">
        <is>
          <t>3eme</t>
        </is>
      </c>
      <c r="B435" s="23" t="inlineStr">
        <is>
          <t>D1</t>
        </is>
      </c>
      <c r="C435" s="22" t="inlineStr">
        <is>
          <t>D.STAT1</t>
        </is>
      </c>
      <c r="D435" s="23" t="inlineStr">
        <is>
          <t>PRC</t>
        </is>
      </c>
      <c r="E435" s="22" t="inlineStr">
        <is>
          <t>Ecrit 9</t>
        </is>
      </c>
      <c r="F435" s="22" t="inlineStr">
        <is>
          <t>La somme est trouvée égale à 45 (retenue oubliée dans 28 + 16) puis correctement divisée par 5.</t>
        </is>
      </c>
    </row>
    <row r="436">
      <c r="A436" s="20" t="inlineStr">
        <is>
          <t>3eme</t>
        </is>
      </c>
      <c r="B436" s="21" t="inlineStr">
        <is>
          <t>D1</t>
        </is>
      </c>
      <c r="C436" s="20" t="inlineStr">
        <is>
          <t>D.STAT1</t>
        </is>
      </c>
      <c r="D436" s="21" t="inlineStr">
        <is>
          <t>CNS</t>
        </is>
      </c>
      <c r="E436" s="20" t="inlineStr">
        <is>
          <t>Ecrit 55</t>
        </is>
      </c>
      <c r="F436" s="20" t="inlineStr">
        <is>
          <t>La somme des notes n'est pas divisée par l'effectif : la définition de la moyenne n'est pas disponible.</t>
        </is>
      </c>
    </row>
    <row r="437">
      <c r="A437" s="22" t="inlineStr">
        <is>
          <t>3eme</t>
        </is>
      </c>
      <c r="B437" s="23" t="inlineStr">
        <is>
          <t>D2</t>
        </is>
      </c>
      <c r="C437" s="22" t="inlineStr">
        <is>
          <t>M.ECH</t>
        </is>
      </c>
      <c r="D437" s="23" t="inlineStr">
        <is>
          <t>PRC</t>
        </is>
      </c>
      <c r="E437" s="22" t="inlineStr">
        <is>
          <t>Entoure b) 14 m</t>
        </is>
      </c>
      <c r="F437" s="22" t="inlineStr">
        <is>
          <t>L'échelle est bien appliquée mais la conversion des centimètres en mètres utilise 1 000.</t>
        </is>
      </c>
    </row>
    <row r="438">
      <c r="A438" s="20" t="inlineStr">
        <is>
          <t>3eme</t>
        </is>
      </c>
      <c r="B438" s="21" t="inlineStr">
        <is>
          <t>D2</t>
        </is>
      </c>
      <c r="C438" s="20" t="inlineStr">
        <is>
          <t>M.ECH</t>
        </is>
      </c>
      <c r="D438" s="21" t="inlineStr">
        <is>
          <t>CNS</t>
        </is>
      </c>
      <c r="E438" s="20" t="inlineStr">
        <is>
          <t>Entoure c) 1 400 m</t>
        </is>
      </c>
      <c r="F438" s="20" t="inlineStr">
        <is>
          <t>La relation entre centimètre et mètre n'est pas disponible.</t>
        </is>
      </c>
    </row>
    <row r="439">
      <c r="A439" s="22" t="inlineStr">
        <is>
          <t>3eme</t>
        </is>
      </c>
      <c r="B439" s="23" t="inlineStr">
        <is>
          <t>D2</t>
        </is>
      </c>
      <c r="C439" s="22" t="inlineStr">
        <is>
          <t>M.ECH</t>
        </is>
      </c>
      <c r="D439" s="23" t="inlineStr">
        <is>
          <t>CPT</t>
        </is>
      </c>
      <c r="E439" s="22" t="inlineStr">
        <is>
          <t>Entoure d) 1,4 m</t>
        </is>
      </c>
      <c r="F439" s="22" t="inlineStr">
        <is>
          <t>Conversion de longueurs et conversion d'aires sont confondues.</t>
        </is>
      </c>
    </row>
    <row r="440">
      <c r="A440" s="20" t="inlineStr">
        <is>
          <t>3eme</t>
        </is>
      </c>
      <c r="B440" s="21" t="inlineStr">
        <is>
          <t>N5</t>
        </is>
      </c>
      <c r="C440" s="20" t="inlineStr">
        <is>
          <t>N.SCI</t>
        </is>
      </c>
      <c r="D440" s="21" t="inlineStr">
        <is>
          <t>CPT</t>
        </is>
      </c>
      <c r="E440" s="20" t="inlineStr">
        <is>
          <t>Ecrit 3 × 10¹³ et « Rasmane a raison »</t>
        </is>
      </c>
      <c r="F440" s="20" t="inlineStr">
        <is>
          <t>Les exposants sont additionnés (0,3 × 10¹⁴) : la règle du quotient de puissances de dix est confondue avec celle du produit.</t>
        </is>
      </c>
    </row>
    <row r="441">
      <c r="A441" s="22" t="inlineStr">
        <is>
          <t>3eme</t>
        </is>
      </c>
      <c r="B441" s="23" t="inlineStr">
        <is>
          <t>N5</t>
        </is>
      </c>
      <c r="C441" s="22" t="inlineStr">
        <is>
          <t>N.SCI</t>
        </is>
      </c>
      <c r="D441" s="23" t="inlineStr">
        <is>
          <t>PRC</t>
        </is>
      </c>
      <c r="E441" s="22" t="inlineStr">
        <is>
          <t>Ecrit 3 × 10⁴ et « Rasmane a raison »</t>
        </is>
      </c>
      <c r="F441" s="22" t="inlineStr">
        <is>
          <t>Les exposants sont bien soustraits mais 2,4 ÷ 8 est calculé 3 au lieu de 0,3.</t>
        </is>
      </c>
    </row>
    <row r="442">
      <c r="A442" s="20" t="inlineStr">
        <is>
          <t>3eme</t>
        </is>
      </c>
      <c r="B442" s="21" t="inlineStr">
        <is>
          <t>N5</t>
        </is>
      </c>
      <c r="C442" s="20" t="inlineStr">
        <is>
          <t>N.SCI</t>
        </is>
      </c>
      <c r="D442" s="21" t="inlineStr">
        <is>
          <t>CNS</t>
        </is>
      </c>
      <c r="E442" s="20" t="inlineStr">
        <is>
          <t>Ecrit 0,3 × 10⁴ comme résultat final</t>
        </is>
      </c>
      <c r="F442" s="20" t="inlineStr">
        <is>
          <t>La condition 1 ≤ a &lt; 10 de l'écriture scientifique n'est pas mobilisée pour réajuster la mantisse.</t>
        </is>
      </c>
    </row>
    <row r="443">
      <c r="A443" s="22" t="inlineStr">
        <is>
          <t>3eme</t>
        </is>
      </c>
      <c r="B443" s="23" t="inlineStr">
        <is>
          <t>N5</t>
        </is>
      </c>
      <c r="C443" s="22" t="inlineStr">
        <is>
          <t>N.SCI</t>
        </is>
      </c>
      <c r="D443" s="23" t="inlineStr">
        <is>
          <t>MOD</t>
        </is>
      </c>
      <c r="E443" s="22" t="inlineStr">
        <is>
          <t>Ecrit 2,4 × 8 × 10¹⁴ = 1,92 × 10¹⁵ parcelles</t>
        </is>
      </c>
      <c r="F443" s="22" t="inlineStr">
        <is>
          <t>L'élève multiplie au lieu de diviser : le partage du volume total entre les parcelles n'est pas traduit.</t>
        </is>
      </c>
    </row>
    <row r="444">
      <c r="A444" s="20" t="inlineStr">
        <is>
          <t>3eme</t>
        </is>
      </c>
      <c r="B444" s="21" t="inlineStr">
        <is>
          <t>N5</t>
        </is>
      </c>
      <c r="C444" s="20" t="inlineStr">
        <is>
          <t>N.SCI</t>
        </is>
      </c>
      <c r="D444" s="21" t="inlineStr">
        <is>
          <t>RED</t>
        </is>
      </c>
      <c r="E444" s="20" t="inlineStr">
        <is>
          <t>Ecrit « Rasmane a tort » sans calcul ni comparaison à 10 000</t>
        </is>
      </c>
      <c r="F444" s="20" t="inlineStr">
        <is>
          <t>La conclusion est juste mais elle ne s'appuie sur aucun calcul écrit.</t>
        </is>
      </c>
    </row>
    <row r="445">
      <c r="A445" s="22" t="inlineStr">
        <is>
          <t>3eme</t>
        </is>
      </c>
      <c r="B445" s="23" t="inlineStr">
        <is>
          <t>N6</t>
        </is>
      </c>
      <c r="C445" s="22" t="inlineStr">
        <is>
          <t>N.RAT</t>
        </is>
      </c>
      <c r="D445" s="23" t="inlineStr">
        <is>
          <t>MOD</t>
        </is>
      </c>
      <c r="E445" s="22" t="inlineStr">
        <is>
          <t>Ecrit b = (5/12) × (-1/3) = -5/36</t>
        </is>
      </c>
      <c r="F445" s="22" t="inlineStr">
        <is>
          <t>L'élève multiplie les deux nombres donnés : la recherche d'un facteur manquant n'est pas traduite par une division.</t>
        </is>
      </c>
    </row>
    <row r="446">
      <c r="A446" s="20" t="inlineStr">
        <is>
          <t>3eme</t>
        </is>
      </c>
      <c r="B446" s="21" t="inlineStr">
        <is>
          <t>N6</t>
        </is>
      </c>
      <c r="C446" s="20" t="inlineStr">
        <is>
          <t>N.RAT</t>
        </is>
      </c>
      <c r="D446" s="21" t="inlineStr">
        <is>
          <t>CPT</t>
        </is>
      </c>
      <c r="E446" s="20" t="inlineStr">
        <is>
          <t>Ecrit b = (5/12) ÷ (-1/3) = -5/4 et « b est inférieur à -1 »</t>
        </is>
      </c>
      <c r="F446" s="20" t="inlineStr">
        <is>
          <t>Pour trouver le facteur manquant, l'élève divise le facteur connu par le produit au lieu de l'inverse : règle fausse appliquée de façon cohérente, pas une erreur d'exécution.</t>
        </is>
      </c>
    </row>
    <row r="447">
      <c r="A447" s="22" t="inlineStr">
        <is>
          <t>3eme</t>
        </is>
      </c>
      <c r="B447" s="23" t="inlineStr">
        <is>
          <t>N6</t>
        </is>
      </c>
      <c r="C447" s="22" t="inlineStr">
        <is>
          <t>N.RAT</t>
        </is>
      </c>
      <c r="D447" s="23" t="inlineStr">
        <is>
          <t>PRQ</t>
        </is>
      </c>
      <c r="E447" s="22" t="inlineStr">
        <is>
          <t>Ecrit b = -4/5 = -0,8 puis « -0,8 &lt; -1 »</t>
        </is>
      </c>
      <c r="F447" s="22" t="inlineStr">
        <is>
          <t>L'ordre des relatifs négatifs, acquis de 5ème, n'est pas maîtrisé : -0,8 est cru plus petit que -1.</t>
        </is>
      </c>
    </row>
    <row r="448">
      <c r="A448" s="20" t="inlineStr">
        <is>
          <t>3eme</t>
        </is>
      </c>
      <c r="B448" s="21" t="inlineStr">
        <is>
          <t>N6</t>
        </is>
      </c>
      <c r="C448" s="20" t="inlineStr">
        <is>
          <t>N.RAT</t>
        </is>
      </c>
      <c r="D448" s="21" t="inlineStr">
        <is>
          <t>PRC</t>
        </is>
      </c>
      <c r="E448" s="20" t="inlineStr">
        <is>
          <t>Ecrit b = -12/15 sans simplifier</t>
        </is>
      </c>
      <c r="F448" s="20" t="inlineStr">
        <is>
          <t>Le calcul est juste mais la simplification en fraction irréductible demandée n'est pas faite.</t>
        </is>
      </c>
    </row>
    <row r="449">
      <c r="A449" s="22" t="inlineStr">
        <is>
          <t>3eme</t>
        </is>
      </c>
      <c r="B449" s="23" t="inlineStr">
        <is>
          <t>N6</t>
        </is>
      </c>
      <c r="C449" s="22" t="inlineStr">
        <is>
          <t>N.RAT</t>
        </is>
      </c>
      <c r="D449" s="23" t="inlineStr">
        <is>
          <t>RED</t>
        </is>
      </c>
      <c r="E449" s="22" t="inlineStr">
        <is>
          <t>Ecrit « b n'est pas inférieur à -1 » sans écrire -4/5 = -0,8 ni comparer</t>
        </is>
      </c>
      <c r="F449" s="22" t="inlineStr">
        <is>
          <t>La conclusion est juste mais la comparaison à -1 n'est pas justifiée.</t>
        </is>
      </c>
    </row>
    <row r="450">
      <c r="A450" s="20" t="inlineStr">
        <is>
          <t>3eme</t>
        </is>
      </c>
      <c r="B450" s="21" t="inlineStr">
        <is>
          <t>N7</t>
        </is>
      </c>
      <c r="C450" s="20" t="inlineStr">
        <is>
          <t>N.APP</t>
        </is>
      </c>
      <c r="D450" s="21" t="inlineStr">
        <is>
          <t>CPT</t>
        </is>
      </c>
      <c r="E450" s="20" t="inlineStr">
        <is>
          <t>Ecrit 10 × 4 000 = 40 000 FCFA et « la somme suffit »</t>
        </is>
      </c>
      <c r="F450" s="20" t="inlineStr">
        <is>
          <t>L'élève minore au lieu de majorer : un ordre de grandeur par défaut ne permet pas de conclure que la somme suffit.</t>
        </is>
      </c>
    </row>
    <row r="451">
      <c r="A451" s="22" t="inlineStr">
        <is>
          <t>3eme</t>
        </is>
      </c>
      <c r="B451" s="23" t="inlineStr">
        <is>
          <t>N7</t>
        </is>
      </c>
      <c r="C451" s="22" t="inlineStr">
        <is>
          <t>N.APP</t>
        </is>
      </c>
      <c r="D451" s="23" t="inlineStr">
        <is>
          <t>MOD</t>
        </is>
      </c>
      <c r="E451" s="22" t="inlineStr">
        <is>
          <t>Pose 18 × 4 750 = 85 500 FCFA sans ordre de grandeur</t>
        </is>
      </c>
      <c r="F451" s="22" t="inlineStr">
        <is>
          <t>La consigne de remplacer chaque nombre par un nombre plus grand n'est pas traduite : l'élève calcule le prix exact.</t>
        </is>
      </c>
    </row>
    <row r="452">
      <c r="A452" s="20" t="inlineStr">
        <is>
          <t>3eme</t>
        </is>
      </c>
      <c r="B452" s="21" t="inlineStr">
        <is>
          <t>N7</t>
        </is>
      </c>
      <c r="C452" s="20" t="inlineStr">
        <is>
          <t>N.APP</t>
        </is>
      </c>
      <c r="D452" s="21" t="inlineStr">
        <is>
          <t>PRC</t>
        </is>
      </c>
      <c r="E452" s="20" t="inlineStr">
        <is>
          <t>Ecrit 20 × 5 000 = 10 000 FCFA</t>
        </is>
      </c>
      <c r="F452" s="20" t="inlineStr">
        <is>
          <t>La majoration est juste mais un zéro est perdu dans le produit.</t>
        </is>
      </c>
    </row>
    <row r="453">
      <c r="A453" s="22" t="inlineStr">
        <is>
          <t>3eme</t>
        </is>
      </c>
      <c r="B453" s="23" t="inlineStr">
        <is>
          <t>N7</t>
        </is>
      </c>
      <c r="C453" s="22" t="inlineStr">
        <is>
          <t>N.APP</t>
        </is>
      </c>
      <c r="D453" s="23" t="inlineStr">
        <is>
          <t>RED</t>
        </is>
      </c>
      <c r="E453" s="22" t="inlineStr">
        <is>
          <t>Ecrit « oui, elle a assez d'argent » sans calcul</t>
        </is>
      </c>
      <c r="F453" s="22" t="inlineStr">
        <is>
          <t>La conclusion est juste mais ni l'ordre de grandeur ni la comparaison à 120 000 FCFA ne sont écrits.</t>
        </is>
      </c>
    </row>
    <row r="454">
      <c r="A454" s="20" t="inlineStr">
        <is>
          <t>3eme</t>
        </is>
      </c>
      <c r="B454" s="21" t="inlineStr">
        <is>
          <t>L5</t>
        </is>
      </c>
      <c r="C454" s="20" t="inlineStr">
        <is>
          <t>L.IDR</t>
        </is>
      </c>
      <c r="D454" s="21" t="inlineStr">
        <is>
          <t>CPT</t>
        </is>
      </c>
      <c r="E454" s="20" t="inlineStr">
        <is>
          <t>Ecrit (2x - 5)² = 4x² + 25 puis E = -50</t>
        </is>
      </c>
      <c r="F454" s="20" t="inlineStr">
        <is>
          <t>Le carré est distribué sur la différence : l'identité (a - b)² = a² - 2ab + b² n'est pas comprise.</t>
        </is>
      </c>
    </row>
    <row r="455">
      <c r="A455" s="22" t="inlineStr">
        <is>
          <t>3eme</t>
        </is>
      </c>
      <c r="B455" s="23" t="inlineStr">
        <is>
          <t>L5</t>
        </is>
      </c>
      <c r="C455" s="22" t="inlineStr">
        <is>
          <t>L.DEV1</t>
        </is>
      </c>
      <c r="D455" s="23" t="inlineStr">
        <is>
          <t>PRC</t>
        </is>
      </c>
      <c r="E455" s="22" t="inlineStr">
        <is>
          <t>Ecrit E = 4x² - 25 - 4x² - 20x + 25 = -20x et « l'affirmation est vraie »</t>
        </is>
      </c>
      <c r="F455" s="22" t="inlineStr">
        <is>
          <t>Les identités sont justes mais le signe moins devant la parenthèse n'est distribué qu'au premier terme.</t>
        </is>
      </c>
    </row>
    <row r="456">
      <c r="A456" s="20" t="inlineStr">
        <is>
          <t>3eme</t>
        </is>
      </c>
      <c r="B456" s="21" t="inlineStr">
        <is>
          <t>L5</t>
        </is>
      </c>
      <c r="C456" s="20" t="inlineStr">
        <is>
          <t>L.IDR</t>
        </is>
      </c>
      <c r="D456" s="21" t="inlineStr">
        <is>
          <t>PRC</t>
        </is>
      </c>
      <c r="E456" s="20" t="inlineStr">
        <is>
          <t>Ecrit (2x - 5)² = 4x² - 10x + 25 puis E = 10x - 50</t>
        </is>
      </c>
      <c r="F456" s="20" t="inlineStr">
        <is>
          <t>L'identité est bien choisie mais le double produit 2 × 2x × 5 est calculé 10x au lieu de 20x.</t>
        </is>
      </c>
    </row>
    <row r="457">
      <c r="A457" s="22" t="inlineStr">
        <is>
          <t>3eme</t>
        </is>
      </c>
      <c r="B457" s="23" t="inlineStr">
        <is>
          <t>L5</t>
        </is>
      </c>
      <c r="C457" s="22" t="inlineStr">
        <is>
          <t>L.IDR</t>
        </is>
      </c>
      <c r="D457" s="23" t="inlineStr">
        <is>
          <t>RED</t>
        </is>
      </c>
      <c r="E457" s="22" t="inlineStr">
        <is>
          <t>Ecrit E = 20x - 50 sans dire si l'affirmation de Wendlassida est vraie</t>
        </is>
      </c>
      <c r="F457" s="22" t="inlineStr">
        <is>
          <t>Le calcul est juste mais le jugement demandé n'est pas formulé.</t>
        </is>
      </c>
    </row>
    <row r="458">
      <c r="A458" s="20" t="inlineStr">
        <is>
          <t>3eme</t>
        </is>
      </c>
      <c r="B458" s="21" t="inlineStr">
        <is>
          <t>L6</t>
        </is>
      </c>
      <c r="C458" s="20" t="inlineStr">
        <is>
          <t>L.FAC1</t>
        </is>
      </c>
      <c r="D458" s="21" t="inlineStr">
        <is>
          <t>CPT</t>
        </is>
      </c>
      <c r="E458" s="20" t="inlineStr">
        <is>
          <t>Ecrit A = 2x × 2x puis A = 100 m² pour x = 5</t>
        </is>
      </c>
      <c r="F458" s="20" t="inlineStr">
        <is>
          <t>L'élève croit que le terme 2x disparaît entièrement quand on le factorise par 2x, sans laisser le facteur 1.</t>
        </is>
      </c>
    </row>
    <row r="459">
      <c r="A459" s="22" t="inlineStr">
        <is>
          <t>3eme</t>
        </is>
      </c>
      <c r="B459" s="23" t="inlineStr">
        <is>
          <t>L6</t>
        </is>
      </c>
      <c r="C459" s="22" t="inlineStr">
        <is>
          <t>L.FAC1</t>
        </is>
      </c>
      <c r="D459" s="23" t="inlineStr">
        <is>
          <t>PRC</t>
        </is>
      </c>
      <c r="E459" s="22" t="inlineStr">
        <is>
          <t>Ecrit A = x(4x + 2)</t>
        </is>
      </c>
      <c r="F459" s="22" t="inlineStr">
        <is>
          <t>Le facteur commun x est trouvé mais la factorisation n'est pas menée jusqu'au bout (facteur 2 restant).</t>
        </is>
      </c>
    </row>
    <row r="460">
      <c r="A460" s="20" t="inlineStr">
        <is>
          <t>3eme</t>
        </is>
      </c>
      <c r="B460" s="21" t="inlineStr">
        <is>
          <t>L6</t>
        </is>
      </c>
      <c r="C460" s="20" t="inlineStr">
        <is>
          <t>L.FAC1</t>
        </is>
      </c>
      <c r="D460" s="21" t="inlineStr">
        <is>
          <t>PRQ</t>
        </is>
      </c>
      <c r="E460" s="20" t="inlineStr">
        <is>
          <t>Ecrit 2 × 5 × 2 × 5 + 1 = 101</t>
        </is>
      </c>
      <c r="F460" s="20" t="inlineStr">
        <is>
          <t>Les parenthèses de 2x(2x + 1) sont perdues au calcul : la priorité des opérations, acquis de 5ème, n'est pas maîtrisée.</t>
        </is>
      </c>
    </row>
    <row r="461">
      <c r="A461" s="22" t="inlineStr">
        <is>
          <t>3eme</t>
        </is>
      </c>
      <c r="B461" s="23" t="inlineStr">
        <is>
          <t>L6</t>
        </is>
      </c>
      <c r="C461" s="22" t="inlineStr">
        <is>
          <t>L.FAC1</t>
        </is>
      </c>
      <c r="D461" s="23" t="inlineStr">
        <is>
          <t>MOD</t>
        </is>
      </c>
      <c r="E461" s="22" t="inlineStr">
        <is>
          <t>Ecrit 4x² + 2x = 60 et cherche x</t>
        </is>
      </c>
      <c r="F461" s="22" t="inlineStr">
        <is>
          <t>L'affirmation de Hamidou est traduite par une équation à résoudre au lieu d'une valeur de A à calculer pour x = 5.</t>
        </is>
      </c>
    </row>
    <row r="462">
      <c r="A462" s="20" t="inlineStr">
        <is>
          <t>3eme</t>
        </is>
      </c>
      <c r="B462" s="21" t="inlineStr">
        <is>
          <t>L6</t>
        </is>
      </c>
      <c r="C462" s="20" t="inlineStr">
        <is>
          <t>L.FAC1</t>
        </is>
      </c>
      <c r="D462" s="21" t="inlineStr">
        <is>
          <t>RED</t>
        </is>
      </c>
      <c r="E462" s="20" t="inlineStr">
        <is>
          <t>Ecrit « Hamidou a tort » sans calculer A pour x = 5</t>
        </is>
      </c>
      <c r="F462" s="20" t="inlineStr">
        <is>
          <t>La conclusion est juste mais elle ne s'appuie sur aucun calcul de l'aire.</t>
        </is>
      </c>
    </row>
    <row r="463">
      <c r="A463" s="22" t="inlineStr">
        <is>
          <t>3eme</t>
        </is>
      </c>
      <c r="B463" s="23" t="inlineStr">
        <is>
          <t>L7</t>
        </is>
      </c>
      <c r="C463" s="22" t="inlineStr">
        <is>
          <t>L.MISE</t>
        </is>
      </c>
      <c r="D463" s="23" t="inlineStr">
        <is>
          <t>MOD</t>
        </is>
      </c>
      <c r="E463" s="22" t="inlineStr">
        <is>
          <t>Ecrit x + 3(x - 6) = 58 puis x = 19</t>
        </is>
      </c>
      <c r="F463" s="22" t="inlineStr">
        <is>
          <t>« Le triple, diminué de 6 » est traduit par 3(x - 6) au lieu de 3x - 6.</t>
        </is>
      </c>
    </row>
    <row r="464">
      <c r="A464" s="20" t="inlineStr">
        <is>
          <t>3eme</t>
        </is>
      </c>
      <c r="B464" s="21" t="inlineStr">
        <is>
          <t>L7</t>
        </is>
      </c>
      <c r="C464" s="20" t="inlineStr">
        <is>
          <t>L.MISE</t>
        </is>
      </c>
      <c r="D464" s="21" t="inlineStr">
        <is>
          <t>MOD</t>
        </is>
      </c>
      <c r="E464" s="20" t="inlineStr">
        <is>
          <t>Ecrit 3x - 6 = 58 puis x = 64/3</t>
        </is>
      </c>
      <c r="F464" s="20" t="inlineStr">
        <is>
          <t>Seules les pintades d'Adama sont mises en équation : le total « à eux deux » n'est pas traduit.</t>
        </is>
      </c>
    </row>
    <row r="465">
      <c r="A465" s="22" t="inlineStr">
        <is>
          <t>3eme</t>
        </is>
      </c>
      <c r="B465" s="23" t="inlineStr">
        <is>
          <t>L7</t>
        </is>
      </c>
      <c r="C465" s="22" t="inlineStr">
        <is>
          <t>L.EQ1</t>
        </is>
      </c>
      <c r="D465" s="23" t="inlineStr">
        <is>
          <t>PRC</t>
        </is>
      </c>
      <c r="E465" s="22" t="inlineStr">
        <is>
          <t>Ecrit 4x - 6 = 58, puis 4x = 52 et x = 13</t>
        </is>
      </c>
      <c r="F465" s="22" t="inlineStr">
        <is>
          <t>L'équation est juste mais -6 passe dans le second membre sans changer de signe.</t>
        </is>
      </c>
    </row>
    <row r="466">
      <c r="A466" s="20" t="inlineStr">
        <is>
          <t>3eme</t>
        </is>
      </c>
      <c r="B466" s="21" t="inlineStr">
        <is>
          <t>L7</t>
        </is>
      </c>
      <c r="C466" s="20" t="inlineStr">
        <is>
          <t>L.MISE</t>
        </is>
      </c>
      <c r="D466" s="21" t="inlineStr">
        <is>
          <t>RED</t>
        </is>
      </c>
      <c r="E466" s="20" t="inlineStr">
        <is>
          <t>Ecrit x = 16 sans écrire d'équation</t>
        </is>
      </c>
      <c r="F466" s="20" t="inlineStr">
        <is>
          <t>Le résultat est juste mais l'équation demandée par la consigne n'est pas écrite.</t>
        </is>
      </c>
    </row>
    <row r="467">
      <c r="A467" s="22" t="inlineStr">
        <is>
          <t>3eme</t>
        </is>
      </c>
      <c r="B467" s="23" t="inlineStr">
        <is>
          <t>G7</t>
        </is>
      </c>
      <c r="C467" s="22" t="inlineStr">
        <is>
          <t>G.VEC</t>
        </is>
      </c>
      <c r="D467" s="23" t="inlineStr">
        <is>
          <t>CPT</t>
        </is>
      </c>
      <c r="E467" s="22" t="inlineStr">
        <is>
          <t>Place D de sorte que ABCD soit un parallélogramme, puis écrit « Talato a tort »</t>
        </is>
      </c>
      <c r="F467" s="22" t="inlineStr">
        <is>
          <t>Le sens du vecteur est ignoré (vecteur CD = vecteur BA) : l'égalité de vecteurs est réduite à même direction et même longueur.</t>
        </is>
      </c>
    </row>
    <row r="468">
      <c r="A468" s="20" t="inlineStr">
        <is>
          <t>3eme</t>
        </is>
      </c>
      <c r="B468" s="21" t="inlineStr">
        <is>
          <t>G7</t>
        </is>
      </c>
      <c r="C468" s="20" t="inlineStr">
        <is>
          <t>G.VEC</t>
        </is>
      </c>
      <c r="D468" s="21" t="inlineStr">
        <is>
          <t>PRC</t>
        </is>
      </c>
      <c r="E468" s="20" t="inlineStr">
        <is>
          <t>D placé à plus de 2 mm de sa position (CD différent de 5 cm ou non parallèle à (AB))</t>
        </is>
      </c>
      <c r="F468" s="20" t="inlineStr">
        <is>
          <t>Le report de vecteur est bien choisi mais la longueur ou la direction est mal reportée aux instruments.</t>
        </is>
      </c>
    </row>
    <row r="469">
      <c r="A469" s="22" t="inlineStr">
        <is>
          <t>3eme</t>
        </is>
      </c>
      <c r="B469" s="23" t="inlineStr">
        <is>
          <t>G7</t>
        </is>
      </c>
      <c r="C469" s="22" t="inlineStr">
        <is>
          <t>G.VEC</t>
        </is>
      </c>
      <c r="D469" s="23" t="inlineStr">
        <is>
          <t>CNS</t>
        </is>
      </c>
      <c r="E469" s="22" t="inlineStr">
        <is>
          <t>Ecrit « ABDC est un parallélogramme » sans conclure sur les milieux de [AD] et [BC]</t>
        </is>
      </c>
      <c r="F469" s="22" t="inlineStr">
        <is>
          <t>La propriété des diagonales d'un parallélogramme, qui se coupent en leur milieu, n'est pas mobilisée.</t>
        </is>
      </c>
    </row>
    <row r="470">
      <c r="A470" s="20" t="inlineStr">
        <is>
          <t>3eme</t>
        </is>
      </c>
      <c r="B470" s="21" t="inlineStr">
        <is>
          <t>G7</t>
        </is>
      </c>
      <c r="C470" s="20" t="inlineStr">
        <is>
          <t>G.VEC</t>
        </is>
      </c>
      <c r="D470" s="21" t="inlineStr">
        <is>
          <t>RED</t>
        </is>
      </c>
      <c r="E470" s="20" t="inlineStr">
        <is>
          <t>Ecrit « elle a raison » après mesure à la règle, sans citer le parallélogramme</t>
        </is>
      </c>
      <c r="F470" s="20" t="inlineStr">
        <is>
          <t>La réponse est juste mais elle repose sur une mesure et non sur une propriété.</t>
        </is>
      </c>
    </row>
    <row r="471">
      <c r="A471" s="22" t="inlineStr">
        <is>
          <t>3eme</t>
        </is>
      </c>
      <c r="B471" s="23" t="inlineStr">
        <is>
          <t>G8</t>
        </is>
      </c>
      <c r="C471" s="22" t="inlineStr">
        <is>
          <t>G.PROJ</t>
        </is>
      </c>
      <c r="D471" s="23" t="inlineStr">
        <is>
          <t>CPT</t>
        </is>
      </c>
      <c r="E471" s="22" t="inlineStr">
        <is>
          <t>Ecrit 24 ÷ 4 = 6 cm et « Kadidiatou a raison »</t>
        </is>
      </c>
      <c r="F471" s="22" t="inlineStr">
        <is>
          <t>Le rapport des périmètres est confondu avec celui des aires : chaque côté est divisé par 2, donc le périmètre aussi.</t>
        </is>
      </c>
    </row>
    <row r="472">
      <c r="A472" s="20" t="inlineStr">
        <is>
          <t>3eme</t>
        </is>
      </c>
      <c r="B472" s="21" t="inlineStr">
        <is>
          <t>G8</t>
        </is>
      </c>
      <c r="C472" s="20" t="inlineStr">
        <is>
          <t>G.PROJ</t>
        </is>
      </c>
      <c r="D472" s="21" t="inlineStr">
        <is>
          <t>CNS</t>
        </is>
      </c>
      <c r="E472" s="20" t="inlineStr">
        <is>
          <t>Ecrit UV = ST/2 mais garde RU = RS et RV = RT</t>
        </is>
      </c>
      <c r="F472" s="20" t="inlineStr">
        <is>
          <t>La définition du milieu n'est pas mobilisée pour les côtés [RU] et [RV].</t>
        </is>
      </c>
    </row>
    <row r="473">
      <c r="A473" s="22" t="inlineStr">
        <is>
          <t>3eme</t>
        </is>
      </c>
      <c r="B473" s="23" t="inlineStr">
        <is>
          <t>G8</t>
        </is>
      </c>
      <c r="C473" s="22" t="inlineStr">
        <is>
          <t>G.PROJ</t>
        </is>
      </c>
      <c r="D473" s="23" t="inlineStr">
        <is>
          <t>MOD</t>
        </is>
      </c>
      <c r="E473" s="22" t="inlineStr">
        <is>
          <t>Suppose RST équilatéral : 24 ÷ 3 = 8, côtés de 4 cm, périmètre 12 cm</t>
        </is>
      </c>
      <c r="F473" s="22" t="inlineStr">
        <is>
          <t>Le triangle quelconque de l'énoncé est remplacé par un cas particulier : la situation n'est pas traduite en général.</t>
        </is>
      </c>
    </row>
    <row r="474">
      <c r="A474" s="20" t="inlineStr">
        <is>
          <t>3eme</t>
        </is>
      </c>
      <c r="B474" s="21" t="inlineStr">
        <is>
          <t>G8</t>
        </is>
      </c>
      <c r="C474" s="20" t="inlineStr">
        <is>
          <t>G.PROJ</t>
        </is>
      </c>
      <c r="D474" s="21" t="inlineStr">
        <is>
          <t>RED</t>
        </is>
      </c>
      <c r="E474" s="20" t="inlineStr">
        <is>
          <t>Ecrit « 12 cm, elle a tort » sans citer le théorème des milieux</t>
        </is>
      </c>
      <c r="F474" s="20" t="inlineStr">
        <is>
          <t>Le résultat est juste mais la démarche n'est pas justifiée.</t>
        </is>
      </c>
    </row>
    <row r="475">
      <c r="A475" s="22" t="inlineStr">
        <is>
          <t>3eme</t>
        </is>
      </c>
      <c r="B475" s="23" t="inlineStr">
        <is>
          <t>F1</t>
        </is>
      </c>
      <c r="C475" s="22" t="inlineStr">
        <is>
          <t>F.APP</t>
        </is>
      </c>
      <c r="D475" s="23" t="inlineStr">
        <is>
          <t>PRQ</t>
        </is>
      </c>
      <c r="E475" s="22" t="inlineStr">
        <is>
          <t>Ecrit u(-3) = 4 - 6 = -2</t>
        </is>
      </c>
      <c r="F475" s="22" t="inlineStr">
        <is>
          <t>-2 × (-3) est calculé -6 : la règle des signes du produit de relatifs, acquis de 4ème, n'est pas maîtrisée.</t>
        </is>
      </c>
    </row>
    <row r="476">
      <c r="A476" s="20" t="inlineStr">
        <is>
          <t>3eme</t>
        </is>
      </c>
      <c r="B476" s="21" t="inlineStr">
        <is>
          <t>F1</t>
        </is>
      </c>
      <c r="C476" s="20" t="inlineStr">
        <is>
          <t>F.APP</t>
        </is>
      </c>
      <c r="D476" s="21" t="inlineStr">
        <is>
          <t>CPT</t>
        </is>
      </c>
      <c r="E476" s="20" t="inlineStr">
        <is>
          <t>Ecrit 20 dans la case de x sous -8 (u(-8) = 4 + 16)</t>
        </is>
      </c>
      <c r="F476" s="20" t="inlineStr">
        <is>
          <t>Image et antécédent sont confondus : l'élève calcule l'image de -8 au lieu de résoudre u(x) = -8.</t>
        </is>
      </c>
    </row>
    <row r="477">
      <c r="A477" s="22" t="inlineStr">
        <is>
          <t>3eme</t>
        </is>
      </c>
      <c r="B477" s="23" t="inlineStr">
        <is>
          <t>F1</t>
        </is>
      </c>
      <c r="C477" s="22" t="inlineStr">
        <is>
          <t>L.EQ1</t>
        </is>
      </c>
      <c r="D477" s="23" t="inlineStr">
        <is>
          <t>PRC</t>
        </is>
      </c>
      <c r="E477" s="22" t="inlineStr">
        <is>
          <t>Ecrit 4 - 2x = -8, puis -2x = -4 et x = 2</t>
        </is>
      </c>
      <c r="F477" s="22" t="inlineStr">
        <is>
          <t>L'équation est bien posée mais 4 passe dans le second membre sans changer de signe.</t>
        </is>
      </c>
    </row>
    <row r="478">
      <c r="A478" s="20" t="inlineStr">
        <is>
          <t>3eme</t>
        </is>
      </c>
      <c r="B478" s="21" t="inlineStr">
        <is>
          <t>F1</t>
        </is>
      </c>
      <c r="C478" s="20" t="inlineStr">
        <is>
          <t>F.APP</t>
        </is>
      </c>
      <c r="D478" s="21" t="inlineStr">
        <is>
          <t>RED</t>
        </is>
      </c>
      <c r="E478" s="20" t="inlineStr">
        <is>
          <t>Ecrit 10 et 6 dans le tableau sans aucun calcul</t>
        </is>
      </c>
      <c r="F478" s="20" t="inlineStr">
        <is>
          <t>Les valeurs sont justes mais les calculs demandés par la consigne ne sont pas indiqués.</t>
        </is>
      </c>
    </row>
    <row r="479">
      <c r="A479" s="22" t="inlineStr">
        <is>
          <t>3eme</t>
        </is>
      </c>
      <c r="B479" s="23" t="inlineStr">
        <is>
          <t>D3</t>
        </is>
      </c>
      <c r="C479" s="22" t="inlineStr">
        <is>
          <t>D.STAT1</t>
        </is>
      </c>
      <c r="D479" s="23" t="inlineStr">
        <is>
          <t>MOD</t>
        </is>
      </c>
      <c r="E479" s="22" t="inlineStr">
        <is>
          <t>Ecrit n = 176 - 85 = 91</t>
        </is>
      </c>
      <c r="F479" s="22" t="inlineStr">
        <is>
          <t>La somme des notes est traitée comme une somme d'effectifs : le produit 13 × n n'est pas posé.</t>
        </is>
      </c>
    </row>
    <row r="480">
      <c r="A480" s="20" t="inlineStr">
        <is>
          <t>3eme</t>
        </is>
      </c>
      <c r="B480" s="21" t="inlineStr">
        <is>
          <t>D3</t>
        </is>
      </c>
      <c r="C480" s="20" t="inlineStr">
        <is>
          <t>D.STAT1</t>
        </is>
      </c>
      <c r="D480" s="21" t="inlineStr">
        <is>
          <t>CPT</t>
        </is>
      </c>
      <c r="E480" s="20" t="inlineStr">
        <is>
          <t>Compare 7 au quart de 176, soit 44, et répond « non »</t>
        </is>
      </c>
      <c r="F480" s="20" t="inlineStr">
        <is>
          <t>L'effectif total est confondu avec la somme des notes.</t>
        </is>
      </c>
    </row>
    <row r="481">
      <c r="A481" s="22" t="inlineStr">
        <is>
          <t>3eme</t>
        </is>
      </c>
      <c r="B481" s="23" t="inlineStr">
        <is>
          <t>D3</t>
        </is>
      </c>
      <c r="C481" s="22" t="inlineStr">
        <is>
          <t>D.STAT1</t>
        </is>
      </c>
      <c r="D481" s="23" t="inlineStr">
        <is>
          <t>PRC</t>
        </is>
      </c>
      <c r="E481" s="22" t="inlineStr">
        <is>
          <t>Ecrit effectif total 3 + 4 + 2 = 9, quart 2,25</t>
        </is>
      </c>
      <c r="F481" s="22" t="inlineStr">
        <is>
          <t>La démarche est juste mais l'effectif trouvé, 7, est oublié dans le total.</t>
        </is>
      </c>
    </row>
    <row r="482">
      <c r="A482" s="20" t="inlineStr">
        <is>
          <t>3eme</t>
        </is>
      </c>
      <c r="B482" s="21" t="inlineStr">
        <is>
          <t>D3</t>
        </is>
      </c>
      <c r="C482" s="20" t="inlineStr">
        <is>
          <t>D.STAT1</t>
        </is>
      </c>
      <c r="D482" s="21" t="inlineStr">
        <is>
          <t>RED</t>
        </is>
      </c>
      <c r="E482" s="20" t="inlineStr">
        <is>
          <t>Ecrit « oui » sans comparer 7 au quart de l'effectif total</t>
        </is>
      </c>
      <c r="F482" s="20" t="inlineStr">
        <is>
          <t>La conclusion est juste mais la comparaison demandée n'est pas écrite.</t>
        </is>
      </c>
    </row>
    <row r="483">
      <c r="A483" s="22" t="inlineStr">
        <is>
          <t>3eme</t>
        </is>
      </c>
      <c r="B483" s="23" t="inlineStr">
        <is>
          <t>D4</t>
        </is>
      </c>
      <c r="C483" s="22" t="inlineStr">
        <is>
          <t>D.POUR</t>
        </is>
      </c>
      <c r="D483" s="23" t="inlineStr">
        <is>
          <t>CPT</t>
        </is>
      </c>
      <c r="E483" s="22" t="inlineStr">
        <is>
          <t>Ecrit 21 000 - 4 200 = 16 800 FCFA et « l'affirmation est vraie »</t>
        </is>
      </c>
      <c r="F483" s="22" t="inlineStr">
        <is>
          <t>Les 20 % sont pris sur le prix de vente : la base d'un pourcentage n'est pas identifiée.</t>
        </is>
      </c>
    </row>
    <row r="484">
      <c r="A484" s="20" t="inlineStr">
        <is>
          <t>3eme</t>
        </is>
      </c>
      <c r="B484" s="21" t="inlineStr">
        <is>
          <t>D4</t>
        </is>
      </c>
      <c r="C484" s="20" t="inlineStr">
        <is>
          <t>D.POUR</t>
        </is>
      </c>
      <c r="D484" s="21" t="inlineStr">
        <is>
          <t>MOD</t>
        </is>
      </c>
      <c r="E484" s="20" t="inlineStr">
        <is>
          <t>Ecrit 21 000 × 1,2 = 25 200 FCFA</t>
        </is>
      </c>
      <c r="F484" s="20" t="inlineStr">
        <is>
          <t>Le prix de vente est augmenté de 20 % : le sens de la relation entre prix d'achat et prix de vente n'est pas traduit.</t>
        </is>
      </c>
    </row>
    <row r="485">
      <c r="A485" s="22" t="inlineStr">
        <is>
          <t>3eme</t>
        </is>
      </c>
      <c r="B485" s="23" t="inlineStr">
        <is>
          <t>D4</t>
        </is>
      </c>
      <c r="C485" s="22" t="inlineStr">
        <is>
          <t>D.POUR</t>
        </is>
      </c>
      <c r="D485" s="23" t="inlineStr">
        <is>
          <t>PRC</t>
        </is>
      </c>
      <c r="E485" s="22" t="inlineStr">
        <is>
          <t>Ecrit 21 000 ÷ 1,2 = 1 750 FCFA</t>
        </is>
      </c>
      <c r="F485" s="22" t="inlineStr">
        <is>
          <t>Le coefficient 1,2 est bien choisi mais la virgule est mal gérée dans la division.</t>
        </is>
      </c>
    </row>
    <row r="486">
      <c r="A486" s="20" t="inlineStr">
        <is>
          <t>3eme</t>
        </is>
      </c>
      <c r="B486" s="21" t="inlineStr">
        <is>
          <t>D4</t>
        </is>
      </c>
      <c r="C486" s="20" t="inlineStr">
        <is>
          <t>D.POUR</t>
        </is>
      </c>
      <c r="D486" s="21" t="inlineStr">
        <is>
          <t>RED</t>
        </is>
      </c>
      <c r="E486" s="20" t="inlineStr">
        <is>
          <t>Ecrit « affirmation fausse » sans calculer 20 % de 21 000</t>
        </is>
      </c>
      <c r="F486" s="20" t="inlineStr">
        <is>
          <t>La conclusion est juste mais elle ne s'appuie sur aucune comparaison chiffrée.</t>
        </is>
      </c>
    </row>
    <row r="487">
      <c r="A487" s="22" t="inlineStr">
        <is>
          <t>3eme</t>
        </is>
      </c>
      <c r="B487" s="23" t="inlineStr">
        <is>
          <t>P1.1</t>
        </is>
      </c>
      <c r="C487" s="22" t="inlineStr">
        <is>
          <t>G.POLY</t>
        </is>
      </c>
      <c r="D487" s="23" t="inlineStr">
        <is>
          <t>CNS</t>
        </is>
      </c>
      <c r="E487" s="22" t="inlineStr">
        <is>
          <t>Ecrit 3 + 2 + 1,5 = 6,5 m³</t>
        </is>
      </c>
      <c r="F487" s="22" t="inlineStr">
        <is>
          <t>La formule du volume du pavé droit n'est pas disponible : les dimensions sont additionnées.</t>
        </is>
      </c>
    </row>
    <row r="488">
      <c r="A488" s="20" t="inlineStr">
        <is>
          <t>3eme</t>
        </is>
      </c>
      <c r="B488" s="21" t="inlineStr">
        <is>
          <t>P1.1</t>
        </is>
      </c>
      <c r="C488" s="20" t="inlineStr">
        <is>
          <t>G.POLY</t>
        </is>
      </c>
      <c r="D488" s="21" t="inlineStr">
        <is>
          <t>CPT</t>
        </is>
      </c>
      <c r="E488" s="20" t="inlineStr">
        <is>
          <t>Ecrit 3 × 2 = 6 m²</t>
        </is>
      </c>
      <c r="F488" s="20" t="inlineStr">
        <is>
          <t>Aire de la base et volume sont confondus.</t>
        </is>
      </c>
    </row>
    <row r="489">
      <c r="A489" s="22" t="inlineStr">
        <is>
          <t>3eme</t>
        </is>
      </c>
      <c r="B489" s="23" t="inlineStr">
        <is>
          <t>P1.1</t>
        </is>
      </c>
      <c r="C489" s="22" t="inlineStr">
        <is>
          <t>G.POLY</t>
        </is>
      </c>
      <c r="D489" s="23" t="inlineStr">
        <is>
          <t>PRC</t>
        </is>
      </c>
      <c r="E489" s="22" t="inlineStr">
        <is>
          <t>Ecrit 6 × 15 = 90 m³</t>
        </is>
      </c>
      <c r="F489" s="22" t="inlineStr">
        <is>
          <t>Le produit des trois dimensions est bien posé mais la virgule de 1,5 est oubliée.</t>
        </is>
      </c>
    </row>
    <row r="490">
      <c r="A490" s="20" t="inlineStr">
        <is>
          <t>3eme</t>
        </is>
      </c>
      <c r="B490" s="21" t="inlineStr">
        <is>
          <t>P1.1</t>
        </is>
      </c>
      <c r="C490" s="20" t="inlineStr">
        <is>
          <t>G.POLY</t>
        </is>
      </c>
      <c r="D490" s="21" t="inlineStr">
        <is>
          <t>MOD</t>
        </is>
      </c>
      <c r="E490" s="20" t="inlineStr">
        <is>
          <t>Ecrit 3 × 2 × 1,5 × 400 = 3 600 m³</t>
        </is>
      </c>
      <c r="F490" s="20" t="inlineStr">
        <is>
          <t>La distance du forage, donnée inutile, est intégrée au calcul du volume.</t>
        </is>
      </c>
    </row>
    <row r="491">
      <c r="A491" s="22" t="inlineStr">
        <is>
          <t>3eme</t>
        </is>
      </c>
      <c r="B491" s="23" t="inlineStr">
        <is>
          <t>P1.2</t>
        </is>
      </c>
      <c r="C491" s="22" t="inlineStr">
        <is>
          <t>N.RAT</t>
        </is>
      </c>
      <c r="D491" s="23" t="inlineStr">
        <is>
          <t>CPT</t>
        </is>
      </c>
      <c r="E491" s="22" t="inlineStr">
        <is>
          <t>Ecrit 9 ÷ 3 × 4 = 12 m³, soit 12 000 L</t>
        </is>
      </c>
      <c r="F491" s="22" t="inlineStr">
        <is>
          <t>La fraction est appliquée à l'envers (multiplier par 4/3) : prendre les 3/4 d'une quantité n'est pas compris.</t>
        </is>
      </c>
    </row>
    <row r="492">
      <c r="A492" s="20" t="inlineStr">
        <is>
          <t>3eme</t>
        </is>
      </c>
      <c r="B492" s="21" t="inlineStr">
        <is>
          <t>P1.2</t>
        </is>
      </c>
      <c r="C492" s="20" t="inlineStr">
        <is>
          <t>N.RAT</t>
        </is>
      </c>
      <c r="D492" s="21" t="inlineStr">
        <is>
          <t>MOD</t>
        </is>
      </c>
      <c r="E492" s="20" t="inlineStr">
        <is>
          <t>Ecrit 9 × 1/4 = 2,25 m³, soit 2 250 L</t>
        </is>
      </c>
      <c r="F492" s="20" t="inlineStr">
        <is>
          <t>L'élève calcule la partie vide : « remplie aux trois quarts » n'est pas traduit.</t>
        </is>
      </c>
    </row>
    <row r="493">
      <c r="A493" s="22" t="inlineStr">
        <is>
          <t>3eme</t>
        </is>
      </c>
      <c r="B493" s="23" t="inlineStr">
        <is>
          <t>P1.2</t>
        </is>
      </c>
      <c r="C493" s="22" t="inlineStr">
        <is>
          <t>D.PROP</t>
        </is>
      </c>
      <c r="D493" s="23" t="inlineStr">
        <is>
          <t>CNS</t>
        </is>
      </c>
      <c r="E493" s="22" t="inlineStr">
        <is>
          <t>Ecrit 6,75 m³ = 675 L</t>
        </is>
      </c>
      <c r="F493" s="22" t="inlineStr">
        <is>
          <t>L'égalité 1 m³ = 1 000 L n'est pas disponible : une correspondance fausse (× 100) est assumée.</t>
        </is>
      </c>
    </row>
    <row r="494">
      <c r="A494" s="20" t="inlineStr">
        <is>
          <t>3eme</t>
        </is>
      </c>
      <c r="B494" s="21" t="inlineStr">
        <is>
          <t>P1.2</t>
        </is>
      </c>
      <c r="C494" s="20" t="inlineStr">
        <is>
          <t>D.PROP</t>
        </is>
      </c>
      <c r="D494" s="21" t="inlineStr">
        <is>
          <t>PRC</t>
        </is>
      </c>
      <c r="E494" s="20" t="inlineStr">
        <is>
          <t>Ecrit 6,75 L</t>
        </is>
      </c>
      <c r="F494" s="20" t="inlineStr">
        <is>
          <t>Les trois quarts sont justes mais l'étape de conversion est omise : l'unité est changée sans calcul.</t>
        </is>
      </c>
    </row>
    <row r="495">
      <c r="A495" s="22" t="inlineStr">
        <is>
          <t>3eme</t>
        </is>
      </c>
      <c r="B495" s="23" t="inlineStr">
        <is>
          <t>P1.3</t>
        </is>
      </c>
      <c r="C495" s="22" t="inlineStr">
        <is>
          <t>D.PROP</t>
        </is>
      </c>
      <c r="D495" s="23" t="inlineStr">
        <is>
          <t>MOD</t>
        </is>
      </c>
      <c r="E495" s="22" t="inlineStr">
        <is>
          <t>Ecrit 6 750 ÷ 150 = 45 jours</t>
        </is>
      </c>
      <c r="F495" s="22" t="inlineStr">
        <is>
          <t>La consommation d'une seule famille est utilisée : le besoin du village entier n'est pas traduit.</t>
        </is>
      </c>
    </row>
    <row r="496">
      <c r="A496" s="20" t="inlineStr">
        <is>
          <t>3eme</t>
        </is>
      </c>
      <c r="B496" s="21" t="inlineStr">
        <is>
          <t>P1.3</t>
        </is>
      </c>
      <c r="C496" s="20" t="inlineStr">
        <is>
          <t>D.PROP</t>
        </is>
      </c>
      <c r="D496" s="21" t="inlineStr">
        <is>
          <t>MOD</t>
        </is>
      </c>
      <c r="E496" s="20" t="inlineStr">
        <is>
          <t>Ecrit 9 000 ÷ 2 250 = 4 jours</t>
        </is>
      </c>
      <c r="F496" s="20" t="inlineStr">
        <is>
          <t>Le volume total de la citerne est utilisé au lieu du volume d'eau qu'elle contient.</t>
        </is>
      </c>
    </row>
    <row r="497">
      <c r="A497" s="22" t="inlineStr">
        <is>
          <t>3eme</t>
        </is>
      </c>
      <c r="B497" s="23" t="inlineStr">
        <is>
          <t>P1.3</t>
        </is>
      </c>
      <c r="C497" s="22" t="inlineStr">
        <is>
          <t>D.PROP</t>
        </is>
      </c>
      <c r="D497" s="23" t="inlineStr">
        <is>
          <t>PRC</t>
        </is>
      </c>
      <c r="E497" s="22" t="inlineStr">
        <is>
          <t>Ecrit 6 750 ÷ 2 250 = 30 jours</t>
        </is>
      </c>
      <c r="F497" s="22" t="inlineStr">
        <is>
          <t>La démarche est juste mais un zéro de trop apparaît dans le quotient.</t>
        </is>
      </c>
    </row>
    <row r="498">
      <c r="A498" s="20" t="inlineStr">
        <is>
          <t>3eme</t>
        </is>
      </c>
      <c r="B498" s="21" t="inlineStr">
        <is>
          <t>P1.3</t>
        </is>
      </c>
      <c r="C498" s="20" t="inlineStr">
        <is>
          <t>D.PROP</t>
        </is>
      </c>
      <c r="D498" s="21" t="inlineStr">
        <is>
          <t>RED</t>
        </is>
      </c>
      <c r="E498" s="20" t="inlineStr">
        <is>
          <t>Ecrit 3 sans phrase de conclusion</t>
        </is>
      </c>
      <c r="F498" s="20" t="inlineStr">
        <is>
          <t>Le résultat est juste mais la conclusion demandée n'est pas rédigée.</t>
        </is>
      </c>
    </row>
    <row r="499">
      <c r="A499" s="22" t="inlineStr">
        <is>
          <t>3eme</t>
        </is>
      </c>
      <c r="B499" s="23" t="inlineStr">
        <is>
          <t>P2.1</t>
        </is>
      </c>
      <c r="C499" s="22" t="inlineStr">
        <is>
          <t>G.REP</t>
        </is>
      </c>
      <c r="D499" s="23" t="inlineStr">
        <is>
          <t>CNS</t>
        </is>
      </c>
      <c r="E499" s="22" t="inlineStr">
        <is>
          <t>Ecrit M(0 ; -4)</t>
        </is>
      </c>
      <c r="F499" s="22" t="inlineStr">
        <is>
          <t>Les sommes des coordonnées ne sont pas divisées par 2 : la formule du milieu est incomplète.</t>
        </is>
      </c>
    </row>
    <row r="500">
      <c r="A500" s="20" t="inlineStr">
        <is>
          <t>3eme</t>
        </is>
      </c>
      <c r="B500" s="21" t="inlineStr">
        <is>
          <t>P2.1</t>
        </is>
      </c>
      <c r="C500" s="20" t="inlineStr">
        <is>
          <t>G.REP</t>
        </is>
      </c>
      <c r="D500" s="21" t="inlineStr">
        <is>
          <t>PRQ</t>
        </is>
      </c>
      <c r="E500" s="20" t="inlineStr">
        <is>
          <t>Ecrit M(0 ; 3)</t>
        </is>
      </c>
      <c r="F500" s="20" t="inlineStr">
        <is>
          <t>1 + (-5) est calculé 6 : l'addition de relatifs, acquis de 5ème, n'est pas maîtrisée.</t>
        </is>
      </c>
    </row>
    <row r="501">
      <c r="A501" s="22" t="inlineStr">
        <is>
          <t>3eme</t>
        </is>
      </c>
      <c r="B501" s="23" t="inlineStr">
        <is>
          <t>P2.1</t>
        </is>
      </c>
      <c r="C501" s="22" t="inlineStr">
        <is>
          <t>G.REP</t>
        </is>
      </c>
      <c r="D501" s="23" t="inlineStr">
        <is>
          <t>CPT</t>
        </is>
      </c>
      <c r="E501" s="22" t="inlineStr">
        <is>
          <t>Ecrit M(4 ; -3)</t>
        </is>
      </c>
      <c r="F501" s="22" t="inlineStr">
        <is>
          <t>Les demi-différences sont calculées : milieu et coordonnées d'un vecteur sont confondus.</t>
        </is>
      </c>
    </row>
    <row r="502">
      <c r="A502" s="20" t="inlineStr">
        <is>
          <t>3eme</t>
        </is>
      </c>
      <c r="B502" s="21" t="inlineStr">
        <is>
          <t>P2.1</t>
        </is>
      </c>
      <c r="C502" s="20" t="inlineStr">
        <is>
          <t>G.REP</t>
        </is>
      </c>
      <c r="D502" s="21" t="inlineStr">
        <is>
          <t>ATT</t>
        </is>
      </c>
      <c r="E502" s="20" t="inlineStr">
        <is>
          <t>Ecrit M(-1 ; 2)</t>
        </is>
      </c>
      <c r="F502" s="20" t="inlineStr">
        <is>
          <t>Le milieu de [AB] est calculé au lieu de celui de [AC], alors que la méthode est juste.</t>
        </is>
      </c>
    </row>
    <row r="503">
      <c r="A503" s="22" t="inlineStr">
        <is>
          <t>3eme</t>
        </is>
      </c>
      <c r="B503" s="23" t="inlineStr">
        <is>
          <t>P2.2</t>
        </is>
      </c>
      <c r="C503" s="22" t="inlineStr">
        <is>
          <t>G.TRANS</t>
        </is>
      </c>
      <c r="D503" s="23" t="inlineStr">
        <is>
          <t>CPT</t>
        </is>
      </c>
      <c r="E503" s="22" t="inlineStr">
        <is>
          <t>Ecrit D(6 ; 0)</t>
        </is>
      </c>
      <c r="F503" s="22" t="inlineStr">
        <is>
          <t>Le vecteur AB(6 ; 2) est utilisé : la translation qui transforme B en A est lue dans le mauvais sens.</t>
        </is>
      </c>
    </row>
    <row r="504">
      <c r="A504" s="20" t="inlineStr">
        <is>
          <t>3eme</t>
        </is>
      </c>
      <c r="B504" s="21" t="inlineStr">
        <is>
          <t>P2.2</t>
        </is>
      </c>
      <c r="C504" s="20" t="inlineStr">
        <is>
          <t>G.REP</t>
        </is>
      </c>
      <c r="D504" s="21" t="inlineStr">
        <is>
          <t>PRQ</t>
        </is>
      </c>
      <c r="E504" s="20" t="inlineStr">
        <is>
          <t>Ecrit vecteur BA(-2 ; -2) puis D(-2 ; -4)</t>
        </is>
      </c>
      <c r="F504" s="20" t="inlineStr">
        <is>
          <t>-4 - 2 est calculé -2 : la soustraction de relatifs, acquis de 5ème, n'est pas maîtrisée.</t>
        </is>
      </c>
    </row>
    <row r="505">
      <c r="A505" s="22" t="inlineStr">
        <is>
          <t>3eme</t>
        </is>
      </c>
      <c r="B505" s="23" t="inlineStr">
        <is>
          <t>P2.2</t>
        </is>
      </c>
      <c r="C505" s="22" t="inlineStr">
        <is>
          <t>G.TRANS</t>
        </is>
      </c>
      <c r="D505" s="23" t="inlineStr">
        <is>
          <t>CNS</t>
        </is>
      </c>
      <c r="E505" s="22" t="inlineStr">
        <is>
          <t>Ecrit D(-6 ; -2)</t>
        </is>
      </c>
      <c r="F505" s="22" t="inlineStr">
        <is>
          <t>Les coordonnées du vecteur sont données comme celles de D : la relation vecteur MD = vecteur BA n'est pas mobilisée.</t>
        </is>
      </c>
    </row>
    <row r="506">
      <c r="A506" s="20" t="inlineStr">
        <is>
          <t>3eme</t>
        </is>
      </c>
      <c r="B506" s="21" t="inlineStr">
        <is>
          <t>P2.2</t>
        </is>
      </c>
      <c r="C506" s="20" t="inlineStr">
        <is>
          <t>G.TRANS</t>
        </is>
      </c>
      <c r="D506" s="21" t="inlineStr">
        <is>
          <t>MOD</t>
        </is>
      </c>
      <c r="E506" s="20" t="inlineStr">
        <is>
          <t>Ecrit D(-10 ; -1)</t>
        </is>
      </c>
      <c r="F506" s="20" t="inlineStr">
        <is>
          <t>L'élève translate A au lieu de M : le point dont on cherche l'image n'est pas identifié dans l'énoncé.</t>
        </is>
      </c>
    </row>
    <row r="507">
      <c r="A507" s="22" t="inlineStr">
        <is>
          <t>3eme</t>
        </is>
      </c>
      <c r="B507" s="23" t="inlineStr">
        <is>
          <t>P2.3</t>
        </is>
      </c>
      <c r="C507" s="22" t="inlineStr">
        <is>
          <t>M.ECH</t>
        </is>
      </c>
      <c r="D507" s="23" t="inlineStr">
        <is>
          <t>CPT</t>
        </is>
      </c>
      <c r="E507" s="22" t="inlineStr">
        <is>
          <t>Ecrit 5 ÷ 200 = 0,025 et « la corde suffit »</t>
        </is>
      </c>
      <c r="F507" s="22" t="inlineStr">
        <is>
          <t>L'échelle est appliquée à l'envers : la longueur réelle est cherchée par division.</t>
        </is>
      </c>
    </row>
    <row r="508">
      <c r="A508" s="20" t="inlineStr">
        <is>
          <t>3eme</t>
        </is>
      </c>
      <c r="B508" s="21" t="inlineStr">
        <is>
          <t>P2.3</t>
        </is>
      </c>
      <c r="C508" s="20" t="inlineStr">
        <is>
          <t>M.ECH</t>
        </is>
      </c>
      <c r="D508" s="21" t="inlineStr">
        <is>
          <t>PRC</t>
        </is>
      </c>
      <c r="E508" s="20" t="inlineStr">
        <is>
          <t>Ecrit 5 × 200 = 1 000 cm = 100 m</t>
        </is>
      </c>
      <c r="F508" s="20" t="inlineStr">
        <is>
          <t>L'échelle est bien appliquée mais la conversion des centimètres en mètres divise par 10.</t>
        </is>
      </c>
    </row>
    <row r="509">
      <c r="A509" s="22" t="inlineStr">
        <is>
          <t>3eme</t>
        </is>
      </c>
      <c r="B509" s="23" t="inlineStr">
        <is>
          <t>P2.3</t>
        </is>
      </c>
      <c r="C509" s="22" t="inlineStr">
        <is>
          <t>M.ECH</t>
        </is>
      </c>
      <c r="D509" s="23" t="inlineStr">
        <is>
          <t>MOD</t>
        </is>
      </c>
      <c r="E509" s="22" t="inlineStr">
        <is>
          <t>Ecrit « 5 cm &lt; 9 m donc la corde suffit »</t>
        </is>
      </c>
      <c r="F509" s="22" t="inlineStr">
        <is>
          <t>La longueur sur le plan est comparée directement à la corde : l'échelle n'est pas utilisée.</t>
        </is>
      </c>
    </row>
    <row r="510">
      <c r="A510" s="20" t="inlineStr">
        <is>
          <t>3eme</t>
        </is>
      </c>
      <c r="B510" s="21" t="inlineStr">
        <is>
          <t>P2.3</t>
        </is>
      </c>
      <c r="C510" s="20" t="inlineStr">
        <is>
          <t>M.ECH</t>
        </is>
      </c>
      <c r="D510" s="21" t="inlineStr">
        <is>
          <t>RED</t>
        </is>
      </c>
      <c r="E510" s="20" t="inlineStr">
        <is>
          <t>Ecrit AC = 10 m sans phrase de conclusion comparant à 9 m</t>
        </is>
      </c>
      <c r="F510" s="20" t="inlineStr">
        <is>
          <t>Le calcul est juste mais la décision demandée n'est pas rédigée.</t>
        </is>
      </c>
    </row>
    <row r="511">
      <c r="A511" s="22" t="inlineStr">
        <is>
          <t>3eme</t>
        </is>
      </c>
      <c r="B511" s="23" t="inlineStr">
        <is>
          <t>P3.1</t>
        </is>
      </c>
      <c r="C511" s="22" t="inlineStr">
        <is>
          <t>F.APP</t>
        </is>
      </c>
      <c r="D511" s="23" t="inlineStr">
        <is>
          <t>CPT</t>
        </is>
      </c>
      <c r="E511" s="22" t="inlineStr">
        <is>
          <t>Ecrit s(80 000) = 1 600 × 80 000 = 128 000 000</t>
        </is>
      </c>
      <c r="F511" s="22" t="inlineStr">
        <is>
          <t>Image et antécédent sont confondus : l'élève calcule l'image de 80 000.</t>
        </is>
      </c>
    </row>
    <row r="512">
      <c r="A512" s="20" t="inlineStr">
        <is>
          <t>3eme</t>
        </is>
      </c>
      <c r="B512" s="21" t="inlineStr">
        <is>
          <t>P3.1</t>
        </is>
      </c>
      <c r="C512" s="20" t="inlineStr">
        <is>
          <t>L.EQ1</t>
        </is>
      </c>
      <c r="D512" s="21" t="inlineStr">
        <is>
          <t>PRC</t>
        </is>
      </c>
      <c r="E512" s="20" t="inlineStr">
        <is>
          <t>Ecrit 1 600n = 80 000 donc n = 5</t>
        </is>
      </c>
      <c r="F512" s="20" t="inlineStr">
        <is>
          <t>L'équation est juste mais un zéro est perdu dans le quotient 80 000 ÷ 1 600 (5 au lieu de 50).</t>
        </is>
      </c>
    </row>
    <row r="513">
      <c r="A513" s="22" t="inlineStr">
        <is>
          <t>3eme</t>
        </is>
      </c>
      <c r="B513" s="23" t="inlineStr">
        <is>
          <t>P3.1</t>
        </is>
      </c>
      <c r="C513" s="22" t="inlineStr">
        <is>
          <t>F.APP</t>
        </is>
      </c>
      <c r="D513" s="23" t="inlineStr">
        <is>
          <t>MOD</t>
        </is>
      </c>
      <c r="E513" s="22" t="inlineStr">
        <is>
          <t>Ecrit n = 1 600 ÷ 80 000 = 0,02</t>
        </is>
      </c>
      <c r="F513" s="22" t="inlineStr">
        <is>
          <t>La relation entre la somme recueillie et le nombre d'élèves est traduite à l'envers.</t>
        </is>
      </c>
    </row>
    <row r="514">
      <c r="A514" s="20" t="inlineStr">
        <is>
          <t>3eme</t>
        </is>
      </c>
      <c r="B514" s="21" t="inlineStr">
        <is>
          <t>P3.1</t>
        </is>
      </c>
      <c r="C514" s="20" t="inlineStr">
        <is>
          <t>F.APP</t>
        </is>
      </c>
      <c r="D514" s="21" t="inlineStr">
        <is>
          <t>CNS</t>
        </is>
      </c>
      <c r="E514" s="20" t="inlineStr">
        <is>
          <t>Recopie s(n) = 1 600n sans chercher n</t>
        </is>
      </c>
      <c r="F514" s="20" t="inlineStr">
        <is>
          <t>La définition de l'antécédent (résoudre s(n) = 80 000) n'est pas disponible.</t>
        </is>
      </c>
    </row>
    <row r="515">
      <c r="A515" s="22" t="inlineStr">
        <is>
          <t>3eme</t>
        </is>
      </c>
      <c r="B515" s="23" t="inlineStr">
        <is>
          <t>P3.2</t>
        </is>
      </c>
      <c r="C515" s="22" t="inlineStr">
        <is>
          <t>L.MISE</t>
        </is>
      </c>
      <c r="D515" s="23" t="inlineStr">
        <is>
          <t>MOD</t>
        </is>
      </c>
      <c r="E515" s="22" t="inlineStr">
        <is>
          <t>Ecrit 1 600n ≤ 84 000 puis n ≤ 52,5</t>
        </is>
      </c>
      <c r="F515" s="22" t="inlineStr">
        <is>
          <t>« Couvre au moins » est traduit par le mauvais symbole d'inégalité.</t>
        </is>
      </c>
    </row>
    <row r="516">
      <c r="A516" s="20" t="inlineStr">
        <is>
          <t>3eme</t>
        </is>
      </c>
      <c r="B516" s="21" t="inlineStr">
        <is>
          <t>P3.2</t>
        </is>
      </c>
      <c r="C516" s="20" t="inlineStr">
        <is>
          <t>L.MISE</t>
        </is>
      </c>
      <c r="D516" s="21" t="inlineStr">
        <is>
          <t>MOD</t>
        </is>
      </c>
      <c r="E516" s="20" t="inlineStr">
        <is>
          <t>Ecrit 1 600n = 84 000 puis n = 52,5</t>
        </is>
      </c>
      <c r="F516" s="20" t="inlineStr">
        <is>
          <t>La contrainte de budget est traduite par une équation et non par une inéquation.</t>
        </is>
      </c>
    </row>
    <row r="517">
      <c r="A517" s="22" t="inlineStr">
        <is>
          <t>3eme</t>
        </is>
      </c>
      <c r="B517" s="23" t="inlineStr">
        <is>
          <t>P3.2</t>
        </is>
      </c>
      <c r="C517" s="22" t="inlineStr">
        <is>
          <t>L.INEQ1</t>
        </is>
      </c>
      <c r="D517" s="23" t="inlineStr">
        <is>
          <t>CPT</t>
        </is>
      </c>
      <c r="E517" s="22" t="inlineStr">
        <is>
          <t>Ecrit 1 600n ≥ 84 000 puis n ≤ 52,5</t>
        </is>
      </c>
      <c r="F517" s="22" t="inlineStr">
        <is>
          <t>Le sens de l'inégalité est changé en divisant par 1 600, nombre positif : la règle est appliquée à tort.</t>
        </is>
      </c>
    </row>
    <row r="518">
      <c r="A518" s="20" t="inlineStr">
        <is>
          <t>3eme</t>
        </is>
      </c>
      <c r="B518" s="21" t="inlineStr">
        <is>
          <t>P3.2</t>
        </is>
      </c>
      <c r="C518" s="20" t="inlineStr">
        <is>
          <t>L.INEQ1</t>
        </is>
      </c>
      <c r="D518" s="21" t="inlineStr">
        <is>
          <t>PRC</t>
        </is>
      </c>
      <c r="E518" s="20" t="inlineStr">
        <is>
          <t>Ecrit 1 600n ≥ 84 000 puis n ≥ 5,25</t>
        </is>
      </c>
      <c r="F518" s="20" t="inlineStr">
        <is>
          <t>L'inéquation et la division sont justes mais le quotient 84 000 ÷ 1 600 est mal calculé.</t>
        </is>
      </c>
    </row>
    <row r="519">
      <c r="A519" s="22" t="inlineStr">
        <is>
          <t>3eme</t>
        </is>
      </c>
      <c r="B519" s="23" t="inlineStr">
        <is>
          <t>P3.3</t>
        </is>
      </c>
      <c r="C519" s="22" t="inlineStr">
        <is>
          <t>N.ENS</t>
        </is>
      </c>
      <c r="D519" s="23" t="inlineStr">
        <is>
          <t>CPT</t>
        </is>
      </c>
      <c r="E519" s="22" t="inlineStr">
        <is>
          <t>Ecrit « il faut au moins 52 élèves »</t>
        </is>
      </c>
      <c r="F519" s="22" t="inlineStr">
        <is>
          <t>Le seuil 52,5 est arrondi par défaut : le plus petit entier supérieur ou égal à 52,5 est 53.</t>
        </is>
      </c>
    </row>
    <row r="520">
      <c r="A520" s="20" t="inlineStr">
        <is>
          <t>3eme</t>
        </is>
      </c>
      <c r="B520" s="21" t="inlineStr">
        <is>
          <t>P3.3</t>
        </is>
      </c>
      <c r="C520" s="20" t="inlineStr">
        <is>
          <t>N.ENS</t>
        </is>
      </c>
      <c r="D520" s="21" t="inlineStr">
        <is>
          <t>MOD</t>
        </is>
      </c>
      <c r="E520" s="20" t="inlineStr">
        <is>
          <t>Ecrit « il faut 52,5 élèves »</t>
        </is>
      </c>
      <c r="F520" s="20" t="inlineStr">
        <is>
          <t>Le fait que le nombre d'élèves est un entier naturel n'est pas pris en compte dans la situation.</t>
        </is>
      </c>
    </row>
    <row r="521">
      <c r="A521" s="22" t="inlineStr">
        <is>
          <t>3eme</t>
        </is>
      </c>
      <c r="B521" s="23" t="inlineStr">
        <is>
          <t>P3.3</t>
        </is>
      </c>
      <c r="C521" s="22" t="inlineStr">
        <is>
          <t>L.INEQ1</t>
        </is>
      </c>
      <c r="D521" s="23" t="inlineStr">
        <is>
          <t>CNS</t>
        </is>
      </c>
      <c r="E521" s="22" t="inlineStr">
        <is>
          <t>Ecrit « le directeur a raison » avec n ≥ 52,5 sous les yeux</t>
        </is>
      </c>
      <c r="F521" s="22" t="inlineStr">
        <is>
          <t>L'élève ne lit pas l'ensemble des solutions : il ne vérifie pas si 50 vérifie n ≥ 52,5.</t>
        </is>
      </c>
    </row>
    <row r="522">
      <c r="A522" s="20" t="inlineStr">
        <is>
          <t>3eme</t>
        </is>
      </c>
      <c r="B522" s="21" t="inlineStr">
        <is>
          <t>P3.3</t>
        </is>
      </c>
      <c r="C522" s="20" t="inlineStr">
        <is>
          <t>N.ENS</t>
        </is>
      </c>
      <c r="D522" s="21" t="inlineStr">
        <is>
          <t>RED</t>
        </is>
      </c>
      <c r="E522" s="20" t="inlineStr">
        <is>
          <t>Ecrit « il a tort » sans donner 53 ni rédiger la phrase de conclusion</t>
        </is>
      </c>
      <c r="F522" s="20" t="inlineStr">
        <is>
          <t>La décision est juste mais elle n'est ni justifiée ni rédigée.</t>
        </is>
      </c>
    </row>
    <row r="523">
      <c r="A523" s="22" t="inlineStr">
        <is>
          <t>2ndeC</t>
        </is>
      </c>
      <c r="B523" s="23" t="inlineStr">
        <is>
          <t>N1</t>
        </is>
      </c>
      <c r="C523" s="22" t="inlineStr">
        <is>
          <t>N.RAT</t>
        </is>
      </c>
      <c r="D523" s="23" t="inlineStr">
        <is>
          <t>CPT</t>
        </is>
      </c>
      <c r="E523" s="22" t="inlineStr">
        <is>
          <t>Ecrit 3</t>
        </is>
      </c>
      <c r="F523" s="22" t="inlineStr">
        <is>
          <t>5/6 - 1/3 est calculé (5 - 1)/(6 - 3) = 4/3 : numérateurs et dénominateurs sont soustraits entre eux, règle fausse appliquée avec cohérence.</t>
        </is>
      </c>
    </row>
    <row r="524">
      <c r="A524" s="20" t="inlineStr">
        <is>
          <t>2ndeC</t>
        </is>
      </c>
      <c r="B524" s="21" t="inlineStr">
        <is>
          <t>N1</t>
        </is>
      </c>
      <c r="C524" s="20" t="inlineStr">
        <is>
          <t>N.RAT</t>
        </is>
      </c>
      <c r="D524" s="21" t="inlineStr">
        <is>
          <t>PRC</t>
        </is>
      </c>
      <c r="E524" s="20" t="inlineStr">
        <is>
          <t>Ecrit 3/2</t>
        </is>
      </c>
      <c r="F524" s="20" t="inlineStr">
        <is>
          <t>1/3 n'est pas converti en 2/6 : la différence est écrite 4/6, étape de mise au même dénominateur omise alors que la méthode est connue.</t>
        </is>
      </c>
    </row>
    <row r="525">
      <c r="A525" s="22" t="inlineStr">
        <is>
          <t>2ndeC</t>
        </is>
      </c>
      <c r="B525" s="23" t="inlineStr">
        <is>
          <t>N1</t>
        </is>
      </c>
      <c r="C525" s="22" t="inlineStr">
        <is>
          <t>N.RAT</t>
        </is>
      </c>
      <c r="D525" s="23" t="inlineStr">
        <is>
          <t>PRC</t>
        </is>
      </c>
      <c r="E525" s="22" t="inlineStr">
        <is>
          <t>Ecrit 27/24</t>
        </is>
      </c>
      <c r="F525" s="22" t="inlineStr">
        <is>
          <t>Le calcul est juste jusqu'à 9/4 × 3/6 mais la simplification finale est omise : la fraction n'est pas rendue irréductible.</t>
        </is>
      </c>
    </row>
    <row r="526">
      <c r="A526" s="20" t="inlineStr">
        <is>
          <t>2ndeC</t>
        </is>
      </c>
      <c r="B526" s="21" t="inlineStr">
        <is>
          <t>N2</t>
        </is>
      </c>
      <c r="C526" s="20" t="inlineStr">
        <is>
          <t>N.RAC</t>
        </is>
      </c>
      <c r="D526" s="21" t="inlineStr">
        <is>
          <t>CPT</t>
        </is>
      </c>
      <c r="E526" s="20" t="inlineStr">
        <is>
          <t>Ecrit 18√5</t>
        </is>
      </c>
      <c r="F526" s="20" t="inlineStr">
        <is>
          <t>√45 = √(9 × 5) est écrit 9√5 : le facteur carré sort sans sa racine, confusion entre 9 et √9.</t>
        </is>
      </c>
    </row>
    <row r="527">
      <c r="A527" s="22" t="inlineStr">
        <is>
          <t>2ndeC</t>
        </is>
      </c>
      <c r="B527" s="23" t="inlineStr">
        <is>
          <t>N2</t>
        </is>
      </c>
      <c r="C527" s="22" t="inlineStr">
        <is>
          <t>N.RAC</t>
        </is>
      </c>
      <c r="D527" s="23" t="inlineStr">
        <is>
          <t>CPT</t>
        </is>
      </c>
      <c r="E527" s="22" t="inlineStr">
        <is>
          <t>Ecrit 3√10</t>
        </is>
      </c>
      <c r="F527" s="22" t="inlineStr">
        <is>
          <t>Le 2 est rentré sous le radical sans être élevé au carré (2√45 = √90), puis √90 = 3√10 : règle a√b = √(a²b) mal comprise.</t>
        </is>
      </c>
    </row>
    <row r="528">
      <c r="A528" s="20" t="inlineStr">
        <is>
          <t>2ndeC</t>
        </is>
      </c>
      <c r="B528" s="21" t="inlineStr">
        <is>
          <t>N2</t>
        </is>
      </c>
      <c r="C528" s="20" t="inlineStr">
        <is>
          <t>N.RAC</t>
        </is>
      </c>
      <c r="D528" s="21" t="inlineStr">
        <is>
          <t>PRC</t>
        </is>
      </c>
      <c r="E528" s="20" t="inlineStr">
        <is>
          <t>Ecrit 5√5</t>
        </is>
      </c>
      <c r="F528" s="20" t="inlineStr">
        <is>
          <t>√45 = 3√5 est juste mais 2 × 3√5 est calculé 2 + 3 : exécution fautive du produit des coefficients.</t>
        </is>
      </c>
    </row>
    <row r="529">
      <c r="A529" s="22" t="inlineStr">
        <is>
          <t>2ndeC</t>
        </is>
      </c>
      <c r="B529" s="23" t="inlineStr">
        <is>
          <t>N2</t>
        </is>
      </c>
      <c r="C529" s="22" t="inlineStr">
        <is>
          <t>N.RAC</t>
        </is>
      </c>
      <c r="D529" s="23" t="inlineStr">
        <is>
          <t>CNS</t>
        </is>
      </c>
      <c r="E529" s="22" t="inlineStr">
        <is>
          <t>Ecrit 2√(9 × 5) sans conclure</t>
        </is>
      </c>
      <c r="F529" s="22" t="inlineStr">
        <is>
          <t>La décomposition est amorcée mais la propriété √(ab) = √a × √b n'est pas mobilisée pour extraire 3.</t>
        </is>
      </c>
    </row>
    <row r="530">
      <c r="A530" s="20" t="inlineStr">
        <is>
          <t>2ndeC</t>
        </is>
      </c>
      <c r="B530" s="21" t="inlineStr">
        <is>
          <t>N3</t>
        </is>
      </c>
      <c r="C530" s="20" t="inlineStr">
        <is>
          <t>N.PUI</t>
        </is>
      </c>
      <c r="D530" s="21" t="inlineStr">
        <is>
          <t>CPT</t>
        </is>
      </c>
      <c r="E530" s="20" t="inlineStr">
        <is>
          <t>Entoure a) 3 × 10²</t>
        </is>
      </c>
      <c r="F530" s="20" t="inlineStr">
        <is>
          <t>Les exposants sont additionnés comme pour un produit : quotient et produit de puissances sont confondus.</t>
        </is>
      </c>
    </row>
    <row r="531">
      <c r="A531" s="22" t="inlineStr">
        <is>
          <t>2ndeC</t>
        </is>
      </c>
      <c r="B531" s="23" t="inlineStr">
        <is>
          <t>N3</t>
        </is>
      </c>
      <c r="C531" s="22" t="inlineStr">
        <is>
          <t>N.PUI</t>
        </is>
      </c>
      <c r="D531" s="23" t="inlineStr">
        <is>
          <t>PRC</t>
        </is>
      </c>
      <c r="E531" s="22" t="inlineStr">
        <is>
          <t>Entoure b) 3 × 10⁻²</t>
        </is>
      </c>
      <c r="F531" s="22" t="inlineStr">
        <is>
          <t>La soustraction des exposants est choisie mais faite sur 3 et 5 sans le signe de -3 : erreur d'exécution sur un relatif.</t>
        </is>
      </c>
    </row>
    <row r="532">
      <c r="A532" s="20" t="inlineStr">
        <is>
          <t>2ndeC</t>
        </is>
      </c>
      <c r="B532" s="21" t="inlineStr">
        <is>
          <t>N3</t>
        </is>
      </c>
      <c r="C532" s="20" t="inlineStr">
        <is>
          <t>N.PUI</t>
        </is>
      </c>
      <c r="D532" s="21" t="inlineStr">
        <is>
          <t>CNS</t>
        </is>
      </c>
      <c r="E532" s="20" t="inlineStr">
        <is>
          <t>Entoure d) 3 × 10⁻¹⁵</t>
        </is>
      </c>
      <c r="F532" s="20" t="inlineStr">
        <is>
          <t>Les exposants sont multipliés : aucune règle de calcul sur les puissances de 10 n'est réellement mobilisée.</t>
        </is>
      </c>
    </row>
    <row r="533">
      <c r="A533" s="22" t="inlineStr">
        <is>
          <t>2ndeC</t>
        </is>
      </c>
      <c r="B533" s="23" t="inlineStr">
        <is>
          <t>N4</t>
        </is>
      </c>
      <c r="C533" s="22" t="inlineStr">
        <is>
          <t>N.INT</t>
        </is>
      </c>
      <c r="D533" s="23" t="inlineStr">
        <is>
          <t>CPT</t>
        </is>
      </c>
      <c r="E533" s="22" t="inlineStr">
        <is>
          <t>Ecrit [-4 ; +∞[</t>
        </is>
      </c>
      <c r="F533" s="22" t="inlineStr">
        <is>
          <t>Le crochet fermé traduit une inégalité stricte : le lien entre stricte/large et ouvert/fermé n'est pas compris.</t>
        </is>
      </c>
    </row>
    <row r="534">
      <c r="A534" s="20" t="inlineStr">
        <is>
          <t>2ndeC</t>
        </is>
      </c>
      <c r="B534" s="21" t="inlineStr">
        <is>
          <t>N4</t>
        </is>
      </c>
      <c r="C534" s="20" t="inlineStr">
        <is>
          <t>N.INT</t>
        </is>
      </c>
      <c r="D534" s="21" t="inlineStr">
        <is>
          <t>CPT</t>
        </is>
      </c>
      <c r="E534" s="20" t="inlineStr">
        <is>
          <t>Ecrit ]-∞ ; -4[</t>
        </is>
      </c>
      <c r="F534" s="20" t="inlineStr">
        <is>
          <t>L'intervalle est placé du mauvais côté de -4 : « plus grand que » n'est pas associé à la droite de la borne.</t>
        </is>
      </c>
    </row>
    <row r="535">
      <c r="A535" s="22" t="inlineStr">
        <is>
          <t>2ndeC</t>
        </is>
      </c>
      <c r="B535" s="23" t="inlineStr">
        <is>
          <t>N4</t>
        </is>
      </c>
      <c r="C535" s="22" t="inlineStr">
        <is>
          <t>N.INT</t>
        </is>
      </c>
      <c r="D535" s="23" t="inlineStr">
        <is>
          <t>CNS</t>
        </is>
      </c>
      <c r="E535" s="22" t="inlineStr">
        <is>
          <t>Ecrit ]-4 ; +∞]</t>
        </is>
      </c>
      <c r="F535" s="22" t="inlineStr">
        <is>
          <t>Le crochet fermé en +∞ montre que la convention d'écriture d'un intervalle non borné n'est pas connue.</t>
        </is>
      </c>
    </row>
    <row r="536">
      <c r="A536" s="20" t="inlineStr">
        <is>
          <t>2ndeC</t>
        </is>
      </c>
      <c r="B536" s="21" t="inlineStr">
        <is>
          <t>N5</t>
        </is>
      </c>
      <c r="C536" s="20" t="inlineStr">
        <is>
          <t>N.RAC</t>
        </is>
      </c>
      <c r="D536" s="21" t="inlineStr">
        <is>
          <t>PRC</t>
        </is>
      </c>
      <c r="E536" s="20" t="inlineStr">
        <is>
          <t>Entoure a) 11</t>
        </is>
      </c>
      <c r="F536" s="20" t="inlineStr">
        <is>
          <t>Le schéma a² - b² est appliqué mais le moins devant (√2)² est perdu : erreur de signe d'exécution.</t>
        </is>
      </c>
    </row>
    <row r="537">
      <c r="A537" s="22" t="inlineStr">
        <is>
          <t>2ndeC</t>
        </is>
      </c>
      <c r="B537" s="23" t="inlineStr">
        <is>
          <t>N5</t>
        </is>
      </c>
      <c r="C537" s="22" t="inlineStr">
        <is>
          <t>N.RAC</t>
        </is>
      </c>
      <c r="D537" s="23" t="inlineStr">
        <is>
          <t>CNS</t>
        </is>
      </c>
      <c r="E537" s="22" t="inlineStr">
        <is>
          <t>Entoure c) 9 - √2</t>
        </is>
      </c>
      <c r="F537" s="22" t="inlineStr">
        <is>
          <t>Le carré de √2 n'est pas calculé : (√2)² = 2 n'est pas disponible.</t>
        </is>
      </c>
    </row>
    <row r="538">
      <c r="A538" s="20" t="inlineStr">
        <is>
          <t>2ndeC</t>
        </is>
      </c>
      <c r="B538" s="21" t="inlineStr">
        <is>
          <t>N5</t>
        </is>
      </c>
      <c r="C538" s="20" t="inlineStr">
        <is>
          <t>L.IDR</t>
        </is>
      </c>
      <c r="D538" s="21" t="inlineStr">
        <is>
          <t>CPT</t>
        </is>
      </c>
      <c r="E538" s="20" t="inlineStr">
        <is>
          <t>Entoure d) 11 - 6√2</t>
        </is>
      </c>
      <c r="F538" s="20" t="inlineStr">
        <is>
          <t>(a - b)(a + b) est confondu avec (a - b)² : les identités remarquables ne sont pas distinguées.</t>
        </is>
      </c>
    </row>
    <row r="539">
      <c r="A539" s="22" t="inlineStr">
        <is>
          <t>2ndeC</t>
        </is>
      </c>
      <c r="B539" s="23" t="inlineStr">
        <is>
          <t>L1</t>
        </is>
      </c>
      <c r="C539" s="22" t="inlineStr">
        <is>
          <t>L.IDR</t>
        </is>
      </c>
      <c r="D539" s="23" t="inlineStr">
        <is>
          <t>PRC</t>
        </is>
      </c>
      <c r="E539" s="22" t="inlineStr">
        <is>
          <t>Entoure a) 4x² - 10x + 25</t>
        </is>
      </c>
      <c r="F539" s="22" t="inlineStr">
        <is>
          <t>La forme a² - 2ab + b² est connue mais le facteur 2 du double produit est oublié à l'exécution.</t>
        </is>
      </c>
    </row>
    <row r="540">
      <c r="A540" s="20" t="inlineStr">
        <is>
          <t>2ndeC</t>
        </is>
      </c>
      <c r="B540" s="21" t="inlineStr">
        <is>
          <t>L1</t>
        </is>
      </c>
      <c r="C540" s="20" t="inlineStr">
        <is>
          <t>L.IDR</t>
        </is>
      </c>
      <c r="D540" s="21" t="inlineStr">
        <is>
          <t>CPT</t>
        </is>
      </c>
      <c r="E540" s="20" t="inlineStr">
        <is>
          <t>Entoure b) 25 - 4x²</t>
        </is>
      </c>
      <c r="F540" s="20" t="inlineStr">
        <is>
          <t>Le carré d'une différence est pris pour une différence de deux carrés : confusion entre deux identités.</t>
        </is>
      </c>
    </row>
    <row r="541">
      <c r="A541" s="22" t="inlineStr">
        <is>
          <t>2ndeC</t>
        </is>
      </c>
      <c r="B541" s="23" t="inlineStr">
        <is>
          <t>L1</t>
        </is>
      </c>
      <c r="C541" s="22" t="inlineStr">
        <is>
          <t>L.IDR</t>
        </is>
      </c>
      <c r="D541" s="23" t="inlineStr">
        <is>
          <t>CPT</t>
        </is>
      </c>
      <c r="E541" s="22" t="inlineStr">
        <is>
          <t>Entoure c) 4x² + 25</t>
        </is>
      </c>
      <c r="F541" s="22" t="inlineStr">
        <is>
          <t>L'élève croit que (a - b)² = a² + b² : le carré est distribué comme un produit.</t>
        </is>
      </c>
    </row>
    <row r="542">
      <c r="A542" s="20" t="inlineStr">
        <is>
          <t>2ndeC</t>
        </is>
      </c>
      <c r="B542" s="21" t="inlineStr">
        <is>
          <t>L2</t>
        </is>
      </c>
      <c r="C542" s="20" t="inlineStr">
        <is>
          <t>L.FAC2</t>
        </is>
      </c>
      <c r="D542" s="21" t="inlineStr">
        <is>
          <t>CPT</t>
        </is>
      </c>
      <c r="E542" s="20" t="inlineStr">
        <is>
          <t>Ecrit (3x - 5)²</t>
        </is>
      </c>
      <c r="F542" s="20" t="inlineStr">
        <is>
          <t>La différence de deux carrés est factorisée comme un carré d'une différence : identités confondues.</t>
        </is>
      </c>
    </row>
    <row r="543">
      <c r="A543" s="22" t="inlineStr">
        <is>
          <t>2ndeC</t>
        </is>
      </c>
      <c r="B543" s="23" t="inlineStr">
        <is>
          <t>L2</t>
        </is>
      </c>
      <c r="C543" s="22" t="inlineStr">
        <is>
          <t>L.FAC2</t>
        </is>
      </c>
      <c r="D543" s="23" t="inlineStr">
        <is>
          <t>PRC</t>
        </is>
      </c>
      <c r="E543" s="22" t="inlineStr">
        <is>
          <t>Ecrit (3x - 25)(3x + 25)</t>
        </is>
      </c>
      <c r="F543" s="22" t="inlineStr">
        <is>
          <t>9x² = (3x)² est bien reconnu mais 25 est gardé au lieu de 5 : racine du second carré non prise.</t>
        </is>
      </c>
    </row>
    <row r="544">
      <c r="A544" s="20" t="inlineStr">
        <is>
          <t>2ndeC</t>
        </is>
      </c>
      <c r="B544" s="21" t="inlineStr">
        <is>
          <t>L2</t>
        </is>
      </c>
      <c r="C544" s="20" t="inlineStr">
        <is>
          <t>L.FAC2</t>
        </is>
      </c>
      <c r="D544" s="21" t="inlineStr">
        <is>
          <t>CNS</t>
        </is>
      </c>
      <c r="E544" s="20" t="inlineStr">
        <is>
          <t>Ecrit (3x)² - 5² sans aller plus loin</t>
        </is>
      </c>
      <c r="F544" s="20" t="inlineStr">
        <is>
          <t>Les deux carrés sont reconnus mais l'identité a² - b² = (a - b)(a + b) n'est pas mobilisée.</t>
        </is>
      </c>
    </row>
    <row r="545">
      <c r="A545" s="22" t="inlineStr">
        <is>
          <t>2ndeC</t>
        </is>
      </c>
      <c r="B545" s="23" t="inlineStr">
        <is>
          <t>L3</t>
        </is>
      </c>
      <c r="C545" s="22" t="inlineStr">
        <is>
          <t>L.EQ1</t>
        </is>
      </c>
      <c r="D545" s="23" t="inlineStr">
        <is>
          <t>PRC</t>
        </is>
      </c>
      <c r="E545" s="22" t="inlineStr">
        <is>
          <t>Ecrit x = 2</t>
        </is>
      </c>
      <c r="F545" s="22" t="inlineStr">
        <is>
          <t>Le -3 passe à droite sans changer de signe (3x = 9 - 3 = 6) : erreur d'exécution d'une méthode connue.</t>
        </is>
      </c>
    </row>
    <row r="546">
      <c r="A546" s="20" t="inlineStr">
        <is>
          <t>2ndeC</t>
        </is>
      </c>
      <c r="B546" s="21" t="inlineStr">
        <is>
          <t>L3</t>
        </is>
      </c>
      <c r="C546" s="20" t="inlineStr">
        <is>
          <t>L.EQ1</t>
        </is>
      </c>
      <c r="D546" s="21" t="inlineStr">
        <is>
          <t>CPT</t>
        </is>
      </c>
      <c r="E546" s="20" t="inlineStr">
        <is>
          <t>Ecrit x = 6/11</t>
        </is>
      </c>
      <c r="F546" s="20" t="inlineStr">
        <is>
          <t>4x et -3 sont transposés tous deux sans changement de signe (7x + 4x = 9 - 3, soit 11x = 6) : règle de transposition fausse appliquée de façon cohérente.</t>
        </is>
      </c>
    </row>
    <row r="547">
      <c r="A547" s="22" t="inlineStr">
        <is>
          <t>2ndeC</t>
        </is>
      </c>
      <c r="B547" s="23" t="inlineStr">
        <is>
          <t>L3</t>
        </is>
      </c>
      <c r="C547" s="22" t="inlineStr">
        <is>
          <t>L.EQ1</t>
        </is>
      </c>
      <c r="D547" s="23" t="inlineStr">
        <is>
          <t>CPT</t>
        </is>
      </c>
      <c r="E547" s="22" t="inlineStr">
        <is>
          <t>Ecrit x = 1/4</t>
        </is>
      </c>
      <c r="F547" s="22" t="inlineStr">
        <is>
          <t>De 3x = 12, l'élève écrit x = 3/12 : le quotient est inversé, le rôle du coefficient n'est pas compris.</t>
        </is>
      </c>
    </row>
    <row r="548">
      <c r="A548" s="20" t="inlineStr">
        <is>
          <t>2ndeC</t>
        </is>
      </c>
      <c r="B548" s="21" t="inlineStr">
        <is>
          <t>L4</t>
        </is>
      </c>
      <c r="C548" s="20" t="inlineStr">
        <is>
          <t>L.INEQ1</t>
        </is>
      </c>
      <c r="D548" s="21" t="inlineStr">
        <is>
          <t>CPT</t>
        </is>
      </c>
      <c r="E548" s="20" t="inlineStr">
        <is>
          <t>Entoure b) [-3 ; +∞[</t>
        </is>
      </c>
      <c r="F548" s="20" t="inlineStr">
        <is>
          <t>Le sens de l'inégalité n'est pas inversé en divisant par -5 : la règle n'est pas comprise.</t>
        </is>
      </c>
    </row>
    <row r="549">
      <c r="A549" s="22" t="inlineStr">
        <is>
          <t>2ndeC</t>
        </is>
      </c>
      <c r="B549" s="23" t="inlineStr">
        <is>
          <t>L4</t>
        </is>
      </c>
      <c r="C549" s="22" t="inlineStr">
        <is>
          <t>L.INEQ1</t>
        </is>
      </c>
      <c r="D549" s="23" t="inlineStr">
        <is>
          <t>PRC</t>
        </is>
      </c>
      <c r="E549" s="22" t="inlineStr">
        <is>
          <t>Entoure c) ]-∞ ; 3]</t>
        </is>
      </c>
      <c r="F549" s="22" t="inlineStr">
        <is>
          <t>L'inversion est faite mais 15 : (-5) donne 3 : erreur d'exécution sur le signe.</t>
        </is>
      </c>
    </row>
    <row r="550">
      <c r="A550" s="20" t="inlineStr">
        <is>
          <t>2ndeC</t>
        </is>
      </c>
      <c r="B550" s="21" t="inlineStr">
        <is>
          <t>L4</t>
        </is>
      </c>
      <c r="C550" s="20" t="inlineStr">
        <is>
          <t>L.INEQ1</t>
        </is>
      </c>
      <c r="D550" s="21" t="inlineStr">
        <is>
          <t>CPT</t>
        </is>
      </c>
      <c r="E550" s="20" t="inlineStr">
        <is>
          <t>Entoure d) [3 ; +∞[</t>
        </is>
      </c>
      <c r="F550" s="20" t="inlineStr">
        <is>
          <t>Deux erreurs cumulées dont la non inversion du sens : la règle sur la division par un négatif manque.</t>
        </is>
      </c>
    </row>
    <row r="551">
      <c r="A551" s="22" t="inlineStr">
        <is>
          <t>2ndeC</t>
        </is>
      </c>
      <c r="B551" s="23" t="inlineStr">
        <is>
          <t>L5</t>
        </is>
      </c>
      <c r="C551" s="22" t="inlineStr">
        <is>
          <t>L.DEV1</t>
        </is>
      </c>
      <c r="D551" s="23" t="inlineStr">
        <is>
          <t>PRC</t>
        </is>
      </c>
      <c r="E551" s="22" t="inlineStr">
        <is>
          <t>Ecrit G = -5x - 9</t>
        </is>
      </c>
      <c r="F551" s="22" t="inlineStr">
        <is>
          <t>-x(x - 5) est développé en -x² - 5x : le signe de -x × (-5) est mal exécuté.</t>
        </is>
      </c>
    </row>
    <row r="552">
      <c r="A552" s="20" t="inlineStr">
        <is>
          <t>2ndeC</t>
        </is>
      </c>
      <c r="B552" s="21" t="inlineStr">
        <is>
          <t>L5</t>
        </is>
      </c>
      <c r="C552" s="20" t="inlineStr">
        <is>
          <t>L.IDR</t>
        </is>
      </c>
      <c r="D552" s="21" t="inlineStr">
        <is>
          <t>CPT</t>
        </is>
      </c>
      <c r="E552" s="20" t="inlineStr">
        <is>
          <t>Ecrit G = -x + 9</t>
        </is>
      </c>
      <c r="F552" s="20" t="inlineStr">
        <is>
          <t>(x - 3)(x + 3) est développé comme (x - 3)² = x² - 6x + 9 : identités confondues.</t>
        </is>
      </c>
    </row>
    <row r="553">
      <c r="A553" s="22" t="inlineStr">
        <is>
          <t>2ndeC</t>
        </is>
      </c>
      <c r="B553" s="23" t="inlineStr">
        <is>
          <t>L5</t>
        </is>
      </c>
      <c r="C553" s="22" t="inlineStr">
        <is>
          <t>L.DEV1</t>
        </is>
      </c>
      <c r="D553" s="23" t="inlineStr">
        <is>
          <t>PRC</t>
        </is>
      </c>
      <c r="E553" s="22" t="inlineStr">
        <is>
          <t>Ecrit G = 2x² + 5x - 9</t>
        </is>
      </c>
      <c r="F553" s="22" t="inlineStr">
        <is>
          <t>Le moins devant x(x - 5) n'est appliqué qu'au second terme (+x² + 5x) : distribution du signe moins incomplète.</t>
        </is>
      </c>
    </row>
    <row r="554">
      <c r="A554" s="20" t="inlineStr">
        <is>
          <t>2ndeC</t>
        </is>
      </c>
      <c r="B554" s="21" t="inlineStr">
        <is>
          <t>L6</t>
        </is>
      </c>
      <c r="C554" s="20" t="inlineStr">
        <is>
          <t>L.SYS</t>
        </is>
      </c>
      <c r="D554" s="21" t="inlineStr">
        <is>
          <t>PRC</t>
        </is>
      </c>
      <c r="E554" s="20" t="inlineStr">
        <is>
          <t>Ecrit (4 ; -2)</t>
        </is>
      </c>
      <c r="F554" s="20" t="inlineStr">
        <is>
          <t>x = 4 est juste mais 4 - 2y = 0 donne y = -2 : erreur de signe en finissant la résolution.</t>
        </is>
      </c>
    </row>
    <row r="555">
      <c r="A555" s="22" t="inlineStr">
        <is>
          <t>2ndeC</t>
        </is>
      </c>
      <c r="B555" s="23" t="inlineStr">
        <is>
          <t>L6</t>
        </is>
      </c>
      <c r="C555" s="22" t="inlineStr">
        <is>
          <t>L.SYS</t>
        </is>
      </c>
      <c r="D555" s="23" t="inlineStr">
        <is>
          <t>PRC</t>
        </is>
      </c>
      <c r="E555" s="22" t="inlineStr">
        <is>
          <t>Ecrit (8 ; 4)</t>
        </is>
      </c>
      <c r="F555" s="22" t="inlineStr">
        <is>
          <t>L'addition des lignes est bien choisie mais 3x + x est écrit 2x, d'où x = 8 puis y = 4.</t>
        </is>
      </c>
    </row>
    <row r="556">
      <c r="A556" s="20" t="inlineStr">
        <is>
          <t>2ndeC</t>
        </is>
      </c>
      <c r="B556" s="21" t="inlineStr">
        <is>
          <t>L6</t>
        </is>
      </c>
      <c r="C556" s="20" t="inlineStr">
        <is>
          <t>L.SYS</t>
        </is>
      </c>
      <c r="D556" s="21" t="inlineStr">
        <is>
          <t>CPT</t>
        </is>
      </c>
      <c r="E556" s="20" t="inlineStr">
        <is>
          <t>Ecrit x = 4 seulement</t>
        </is>
      </c>
      <c r="F556" s="20" t="inlineStr">
        <is>
          <t>La solution d'un système est prise pour une seule valeur : la notion de couple solution n'est pas comprise.</t>
        </is>
      </c>
    </row>
    <row r="557">
      <c r="A557" s="22" t="inlineStr">
        <is>
          <t>2ndeC</t>
        </is>
      </c>
      <c r="B557" s="23" t="inlineStr">
        <is>
          <t>L6</t>
        </is>
      </c>
      <c r="C557" s="22" t="inlineStr">
        <is>
          <t>L.SYS</t>
        </is>
      </c>
      <c r="D557" s="23" t="inlineStr">
        <is>
          <t>ATT</t>
        </is>
      </c>
      <c r="E557" s="22" t="inlineStr">
        <is>
          <t>Ecrit (2 ; 4)</t>
        </is>
      </c>
      <c r="F557" s="22" t="inlineStr">
        <is>
          <t>Les deux valeurs justes sont recopiées dans l'ordre (y ; x) : inversion ponctuelle de l'ordre du couple.</t>
        </is>
      </c>
    </row>
    <row r="558">
      <c r="A558" s="20" t="inlineStr">
        <is>
          <t>2ndeC</t>
        </is>
      </c>
      <c r="B558" s="21" t="inlineStr">
        <is>
          <t>L7</t>
        </is>
      </c>
      <c r="C558" s="20" t="inlineStr">
        <is>
          <t>L.EQP</t>
        </is>
      </c>
      <c r="D558" s="21" t="inlineStr">
        <is>
          <t>CPT</t>
        </is>
      </c>
      <c r="E558" s="20" t="inlineStr">
        <is>
          <t>Ecrit S = {-4}</t>
        </is>
      </c>
      <c r="F558" s="20" t="inlineStr">
        <is>
          <t>x n'est pas vu comme un facteur pouvant être nul : la solution 0 est perdue, souvent par division par x.</t>
        </is>
      </c>
    </row>
    <row r="559">
      <c r="A559" s="22" t="inlineStr">
        <is>
          <t>2ndeC</t>
        </is>
      </c>
      <c r="B559" s="23" t="inlineStr">
        <is>
          <t>L7</t>
        </is>
      </c>
      <c r="C559" s="22" t="inlineStr">
        <is>
          <t>L.EQP</t>
        </is>
      </c>
      <c r="D559" s="23" t="inlineStr">
        <is>
          <t>PRC</t>
        </is>
      </c>
      <c r="E559" s="22" t="inlineStr">
        <is>
          <t>Ecrit S = {0 ; 4}</t>
        </is>
      </c>
      <c r="F559" s="22" t="inlineStr">
        <is>
          <t>La propriété du produit nul est appliquée mais 3x + 12 = 0 est résolu avec une erreur de signe.</t>
        </is>
      </c>
    </row>
    <row r="560">
      <c r="A560" s="20" t="inlineStr">
        <is>
          <t>2ndeC</t>
        </is>
      </c>
      <c r="B560" s="21" t="inlineStr">
        <is>
          <t>L7</t>
        </is>
      </c>
      <c r="C560" s="20" t="inlineStr">
        <is>
          <t>L.EQP</t>
        </is>
      </c>
      <c r="D560" s="21" t="inlineStr">
        <is>
          <t>CNS</t>
        </is>
      </c>
      <c r="E560" s="20" t="inlineStr">
        <is>
          <t>Ecrit 3x² + 12x = 0 sans conclure</t>
        </is>
      </c>
      <c r="F560" s="20" t="inlineStr">
        <is>
          <t>L'élève développe au lieu d'utiliser la forme produit : la propriété du produit nul n'est pas mobilisée.</t>
        </is>
      </c>
    </row>
    <row r="561">
      <c r="A561" s="22" t="inlineStr">
        <is>
          <t>2ndeC</t>
        </is>
      </c>
      <c r="B561" s="23" t="inlineStr">
        <is>
          <t>G1</t>
        </is>
      </c>
      <c r="C561" s="22" t="inlineStr">
        <is>
          <t>G.PYT</t>
        </is>
      </c>
      <c r="D561" s="23" t="inlineStr">
        <is>
          <t>CPT</t>
        </is>
      </c>
      <c r="E561" s="22" t="inlineStr">
        <is>
          <t>Ecrit MP = √313 cm</t>
        </is>
      </c>
      <c r="F561" s="22" t="inlineStr">
        <is>
          <t>NP est traité comme un côté de l'angle droit (12² + 13² = 313) : l'hypoténuse n'est pas identifiée.</t>
        </is>
      </c>
    </row>
    <row r="562">
      <c r="A562" s="20" t="inlineStr">
        <is>
          <t>2ndeC</t>
        </is>
      </c>
      <c r="B562" s="21" t="inlineStr">
        <is>
          <t>G1</t>
        </is>
      </c>
      <c r="C562" s="20" t="inlineStr">
        <is>
          <t>G.PYT</t>
        </is>
      </c>
      <c r="D562" s="21" t="inlineStr">
        <is>
          <t>CNS</t>
        </is>
      </c>
      <c r="E562" s="20" t="inlineStr">
        <is>
          <t>Ecrit MP = 1 cm</t>
        </is>
      </c>
      <c r="F562" s="20" t="inlineStr">
        <is>
          <t>Les longueurs sont soustraites (13 - 12) : le théorème de Pythagore n'est pas mobilisé.</t>
        </is>
      </c>
    </row>
    <row r="563">
      <c r="A563" s="22" t="inlineStr">
        <is>
          <t>2ndeC</t>
        </is>
      </c>
      <c r="B563" s="23" t="inlineStr">
        <is>
          <t>G1</t>
        </is>
      </c>
      <c r="C563" s="22" t="inlineStr">
        <is>
          <t>G.PYT</t>
        </is>
      </c>
      <c r="D563" s="23" t="inlineStr">
        <is>
          <t>PRC</t>
        </is>
      </c>
      <c r="E563" s="22" t="inlineStr">
        <is>
          <t>Ecrit MP = 25 cm</t>
        </is>
      </c>
      <c r="F563" s="22" t="inlineStr">
        <is>
          <t>169 - 144 = 25 est juste mais la racine carrée finale est oubliée.</t>
        </is>
      </c>
    </row>
    <row r="564">
      <c r="A564" s="20" t="inlineStr">
        <is>
          <t>2ndeC</t>
        </is>
      </c>
      <c r="B564" s="21" t="inlineStr">
        <is>
          <t>G2</t>
        </is>
      </c>
      <c r="C564" s="20" t="inlineStr">
        <is>
          <t>G.VEC</t>
        </is>
      </c>
      <c r="D564" s="21" t="inlineStr">
        <is>
          <t>CPT</t>
        </is>
      </c>
      <c r="E564" s="20" t="inlineStr">
        <is>
          <t>Ecrit vecteur BC</t>
        </is>
      </c>
      <c r="F564" s="20" t="inlineStr">
        <is>
          <t>Le résultat est l'opposé du bon : l'opposé de vecteur AC et l'ordre des lettres dans Chasles sont mal compris.</t>
        </is>
      </c>
    </row>
    <row r="565">
      <c r="A565" s="22" t="inlineStr">
        <is>
          <t>2ndeC</t>
        </is>
      </c>
      <c r="B565" s="23" t="inlineStr">
        <is>
          <t>G2</t>
        </is>
      </c>
      <c r="C565" s="22" t="inlineStr">
        <is>
          <t>G.VEC</t>
        </is>
      </c>
      <c r="D565" s="23" t="inlineStr">
        <is>
          <t>CNS</t>
        </is>
      </c>
      <c r="E565" s="22" t="inlineStr">
        <is>
          <t>Ecrit vecteur 0 ou vecteur AA</t>
        </is>
      </c>
      <c r="F565" s="22" t="inlineStr">
        <is>
          <t>Les lettres A sont « soustraites » : ni l'opposé d'un vecteur ni la relation de Chasles ne sont disponibles.</t>
        </is>
      </c>
    </row>
    <row r="566">
      <c r="A566" s="20" t="inlineStr">
        <is>
          <t>2ndeC</t>
        </is>
      </c>
      <c r="B566" s="21" t="inlineStr">
        <is>
          <t>G2</t>
        </is>
      </c>
      <c r="C566" s="20" t="inlineStr">
        <is>
          <t>G.VEC</t>
        </is>
      </c>
      <c r="D566" s="21" t="inlineStr">
        <is>
          <t>PRC</t>
        </is>
      </c>
      <c r="E566" s="20" t="inlineStr">
        <is>
          <t>Ecrit vecteur CA + vecteur AB sans réduire</t>
        </is>
      </c>
      <c r="F566" s="20" t="inlineStr">
        <is>
          <t>La transformation en somme est juste mais la dernière étape de Chasles (= vecteur CB) est omise.</t>
        </is>
      </c>
    </row>
    <row r="567">
      <c r="A567" s="22" t="inlineStr">
        <is>
          <t>2ndeC</t>
        </is>
      </c>
      <c r="B567" s="23" t="inlineStr">
        <is>
          <t>G3</t>
        </is>
      </c>
      <c r="C567" s="22" t="inlineStr">
        <is>
          <t>G.RON</t>
        </is>
      </c>
      <c r="D567" s="23" t="inlineStr">
        <is>
          <t>CPT</t>
        </is>
      </c>
      <c r="E567" s="22" t="inlineStr">
        <is>
          <t>Entoure a) √7</t>
        </is>
      </c>
      <c r="F567" s="22" t="inlineStr">
        <is>
          <t>La formule est retenue sans les carrés : la distance est vue comme la racine de la somme des écarts.</t>
        </is>
      </c>
    </row>
    <row r="568">
      <c r="A568" s="20" t="inlineStr">
        <is>
          <t>2ndeC</t>
        </is>
      </c>
      <c r="B568" s="21" t="inlineStr">
        <is>
          <t>G3</t>
        </is>
      </c>
      <c r="C568" s="20" t="inlineStr">
        <is>
          <t>G.RON</t>
        </is>
      </c>
      <c r="D568" s="21" t="inlineStr">
        <is>
          <t>PRC</t>
        </is>
      </c>
      <c r="E568" s="20" t="inlineStr">
        <is>
          <t>Entoure c) √13</t>
        </is>
      </c>
      <c r="F568" s="20" t="inlineStr">
        <is>
          <t>Formule connue, mais 3 - (-1) calculé 2 : erreur de signe sur une différence de coordonnées.</t>
        </is>
      </c>
    </row>
    <row r="569">
      <c r="A569" s="22" t="inlineStr">
        <is>
          <t>2ndeC</t>
        </is>
      </c>
      <c r="B569" s="23" t="inlineStr">
        <is>
          <t>G3</t>
        </is>
      </c>
      <c r="C569" s="22" t="inlineStr">
        <is>
          <t>G.RON</t>
        </is>
      </c>
      <c r="D569" s="23" t="inlineStr">
        <is>
          <t>PRC</t>
        </is>
      </c>
      <c r="E569" s="22" t="inlineStr">
        <is>
          <t>Entoure d) 25</t>
        </is>
      </c>
      <c r="F569" s="22" t="inlineStr">
        <is>
          <t>Formule connue et calcul juste jusqu'à AB², mais la racine carrée finale est omise.</t>
        </is>
      </c>
    </row>
    <row r="570">
      <c r="A570" s="20" t="inlineStr">
        <is>
          <t>2ndeC</t>
        </is>
      </c>
      <c r="B570" s="21" t="inlineStr">
        <is>
          <t>G4</t>
        </is>
      </c>
      <c r="C570" s="20" t="inlineStr">
        <is>
          <t>G.THA</t>
        </is>
      </c>
      <c r="D570" s="21" t="inlineStr">
        <is>
          <t>PRC</t>
        </is>
      </c>
      <c r="E570" s="20" t="inlineStr">
        <is>
          <t>Entoure b) 2,4 cm</t>
        </is>
      </c>
      <c r="F570" s="20" t="inlineStr">
        <is>
          <t>L'égalité des rapports est connue mais écrite à l'envers (4/10 = AC/6) à l'exécution.</t>
        </is>
      </c>
    </row>
    <row r="571">
      <c r="A571" s="22" t="inlineStr">
        <is>
          <t>2ndeC</t>
        </is>
      </c>
      <c r="B571" s="23" t="inlineStr">
        <is>
          <t>G4</t>
        </is>
      </c>
      <c r="C571" s="22" t="inlineStr">
        <is>
          <t>G.THA</t>
        </is>
      </c>
      <c r="D571" s="23" t="inlineStr">
        <is>
          <t>CPT</t>
        </is>
      </c>
      <c r="E571" s="22" t="inlineStr">
        <is>
          <t>Entoure c) 12 cm</t>
        </is>
      </c>
      <c r="F571" s="22" t="inlineStr">
        <is>
          <t>L'agrandissement est pensé comme un ajout constant (+ 6) et non comme une multiplication : rapport non compris.</t>
        </is>
      </c>
    </row>
    <row r="572">
      <c r="A572" s="20" t="inlineStr">
        <is>
          <t>2ndeC</t>
        </is>
      </c>
      <c r="B572" s="21" t="inlineStr">
        <is>
          <t>G4</t>
        </is>
      </c>
      <c r="C572" s="20" t="inlineStr">
        <is>
          <t>G.THA</t>
        </is>
      </c>
      <c r="D572" s="21" t="inlineStr">
        <is>
          <t>CPT</t>
        </is>
      </c>
      <c r="E572" s="20" t="inlineStr">
        <is>
          <t>Entoure d) 9 cm</t>
        </is>
      </c>
      <c r="F572" s="20" t="inlineStr">
        <is>
          <t>Les rapports de Thalès sont formés avec MB au lieu de AB : les côtés homologues sont confondus.</t>
        </is>
      </c>
    </row>
    <row r="573">
      <c r="A573" s="22" t="inlineStr">
        <is>
          <t>2ndeC</t>
        </is>
      </c>
      <c r="B573" s="23" t="inlineStr">
        <is>
          <t>G5</t>
        </is>
      </c>
      <c r="C573" s="22" t="inlineStr">
        <is>
          <t>G.COL</t>
        </is>
      </c>
      <c r="D573" s="23" t="inlineStr">
        <is>
          <t>CPT</t>
        </is>
      </c>
      <c r="E573" s="22" t="inlineStr">
        <is>
          <t>Ecrit vecteur AB(-3 ; -5)</t>
        </is>
      </c>
      <c r="F573" s="22" t="inlineStr">
        <is>
          <t>Les différences sont faites xA - xB et yA - yB : l'ordre origine/extrémité n'est pas compris.</t>
        </is>
      </c>
    </row>
    <row r="574">
      <c r="A574" s="20" t="inlineStr">
        <is>
          <t>2ndeC</t>
        </is>
      </c>
      <c r="B574" s="21" t="inlineStr">
        <is>
          <t>G5</t>
        </is>
      </c>
      <c r="C574" s="20" t="inlineStr">
        <is>
          <t>G.COL</t>
        </is>
      </c>
      <c r="D574" s="21" t="inlineStr">
        <is>
          <t>PRC</t>
        </is>
      </c>
      <c r="E574" s="20" t="inlineStr">
        <is>
          <t>Ecrit vecteur AB(3 ; 1)</t>
        </is>
      </c>
      <c r="F574" s="20" t="inlineStr">
        <is>
          <t>xB - xA = 3 est juste mais 3 - (-2) est calculé 1 : erreur de signe.</t>
        </is>
      </c>
    </row>
    <row r="575">
      <c r="A575" s="22" t="inlineStr">
        <is>
          <t>2ndeC</t>
        </is>
      </c>
      <c r="B575" s="23" t="inlineStr">
        <is>
          <t>G5</t>
        </is>
      </c>
      <c r="C575" s="22" t="inlineStr">
        <is>
          <t>G.COL</t>
        </is>
      </c>
      <c r="D575" s="23" t="inlineStr">
        <is>
          <t>CNS</t>
        </is>
      </c>
      <c r="E575" s="22" t="inlineStr">
        <is>
          <t>Ecrit vecteur AB(5 ; 1)</t>
        </is>
      </c>
      <c r="F575" s="22" t="inlineStr">
        <is>
          <t>Les coordonnées sont additionnées : la formule xB - xA ; yB - yA n'est pas disponible.</t>
        </is>
      </c>
    </row>
    <row r="576">
      <c r="A576" s="20" t="inlineStr">
        <is>
          <t>2ndeC</t>
        </is>
      </c>
      <c r="B576" s="21" t="inlineStr">
        <is>
          <t>G6</t>
        </is>
      </c>
      <c r="C576" s="20" t="inlineStr">
        <is>
          <t>T.TRIR</t>
        </is>
      </c>
      <c r="D576" s="21" t="inlineStr">
        <is>
          <t>CPT</t>
        </is>
      </c>
      <c r="E576" s="20" t="inlineStr">
        <is>
          <t>Ecrit 6√3 m</t>
        </is>
      </c>
      <c r="F576" s="20" t="inlineStr">
        <is>
          <t>Le cosinus est utilisé (12 × cos 30°) : côté opposé et côté adjacent sont confondus.</t>
        </is>
      </c>
    </row>
    <row r="577">
      <c r="A577" s="22" t="inlineStr">
        <is>
          <t>2ndeC</t>
        </is>
      </c>
      <c r="B577" s="23" t="inlineStr">
        <is>
          <t>G6</t>
        </is>
      </c>
      <c r="C577" s="22" t="inlineStr">
        <is>
          <t>T.TRIR</t>
        </is>
      </c>
      <c r="D577" s="23" t="inlineStr">
        <is>
          <t>PRC</t>
        </is>
      </c>
      <c r="E577" s="22" t="inlineStr">
        <is>
          <t>Ecrit 24 m</t>
        </is>
      </c>
      <c r="F577" s="22" t="inlineStr">
        <is>
          <t>sin 30° est bien choisi mais l'égalité est mal transformée : 12 : 0,5 au lieu de 12 × 0,5.</t>
        </is>
      </c>
    </row>
    <row r="578">
      <c r="A578" s="20" t="inlineStr">
        <is>
          <t>2ndeC</t>
        </is>
      </c>
      <c r="B578" s="21" t="inlineStr">
        <is>
          <t>G6</t>
        </is>
      </c>
      <c r="C578" s="20" t="inlineStr">
        <is>
          <t>T.TRIR</t>
        </is>
      </c>
      <c r="D578" s="21" t="inlineStr">
        <is>
          <t>CNS</t>
        </is>
      </c>
      <c r="E578" s="20" t="inlineStr">
        <is>
          <t>Ecrit 4 m</t>
        </is>
      </c>
      <c r="F578" s="20" t="inlineStr">
        <is>
          <t>La hauteur est prise proportionnelle à l'angle (12 × 30/90) : aucune ligne trigonométrique n'est mobilisée.</t>
        </is>
      </c>
    </row>
    <row r="579">
      <c r="A579" s="22" t="inlineStr">
        <is>
          <t>2ndeC</t>
        </is>
      </c>
      <c r="B579" s="23" t="inlineStr">
        <is>
          <t>F1</t>
        </is>
      </c>
      <c r="C579" s="22" t="inlineStr">
        <is>
          <t>F.LIN</t>
        </is>
      </c>
      <c r="D579" s="23" t="inlineStr">
        <is>
          <t>CPT</t>
        </is>
      </c>
      <c r="E579" s="22" t="inlineStr">
        <is>
          <t>Entoure a) -35</t>
        </is>
      </c>
      <c r="F579" s="22" t="inlineStr">
        <is>
          <t>L'image de 13 est calculée au lieu de résoudre f(x) = 13 : image et antécédent sont confondus.</t>
        </is>
      </c>
    </row>
    <row r="580">
      <c r="A580" s="20" t="inlineStr">
        <is>
          <t>2ndeC</t>
        </is>
      </c>
      <c r="B580" s="21" t="inlineStr">
        <is>
          <t>F1</t>
        </is>
      </c>
      <c r="C580" s="20" t="inlineStr">
        <is>
          <t>L.EQ1</t>
        </is>
      </c>
      <c r="D580" s="21" t="inlineStr">
        <is>
          <t>PRC</t>
        </is>
      </c>
      <c r="E580" s="20" t="inlineStr">
        <is>
          <t>Entoure b) 3</t>
        </is>
      </c>
      <c r="F580" s="20" t="inlineStr">
        <is>
          <t>L'équation -3x + 4 = 13 est bien posée mais 9 : (-3) est calculé 3 : erreur de signe.</t>
        </is>
      </c>
    </row>
    <row r="581">
      <c r="A581" s="22" t="inlineStr">
        <is>
          <t>2ndeC</t>
        </is>
      </c>
      <c r="B581" s="23" t="inlineStr">
        <is>
          <t>F1</t>
        </is>
      </c>
      <c r="C581" s="22" t="inlineStr">
        <is>
          <t>L.EQ1</t>
        </is>
      </c>
      <c r="D581" s="23" t="inlineStr">
        <is>
          <t>PRC</t>
        </is>
      </c>
      <c r="E581" s="22" t="inlineStr">
        <is>
          <t>Entoure d) -17/3</t>
        </is>
      </c>
      <c r="F581" s="22" t="inlineStr">
        <is>
          <t>L'équation est bien posée mais 4 est transposé sans changer de signe : erreur d'exécution.</t>
        </is>
      </c>
    </row>
    <row r="582">
      <c r="A582" s="20" t="inlineStr">
        <is>
          <t>2ndeC</t>
        </is>
      </c>
      <c r="B582" s="21" t="inlineStr">
        <is>
          <t>D1</t>
        </is>
      </c>
      <c r="C582" s="20" t="inlineStr">
        <is>
          <t>D.STAT1</t>
        </is>
      </c>
      <c r="D582" s="21" t="inlineStr">
        <is>
          <t>CNS</t>
        </is>
      </c>
      <c r="E582" s="20" t="inlineStr">
        <is>
          <t>Ecrit 60 sacs</t>
        </is>
      </c>
      <c r="F582" s="20" t="inlineStr">
        <is>
          <t>La somme est faite mais pas la division par l'effectif : la définition de la moyenne n'est pas disponible.</t>
        </is>
      </c>
    </row>
    <row r="583">
      <c r="A583" s="22" t="inlineStr">
        <is>
          <t>2ndeC</t>
        </is>
      </c>
      <c r="B583" s="23" t="inlineStr">
        <is>
          <t>D1</t>
        </is>
      </c>
      <c r="C583" s="22" t="inlineStr">
        <is>
          <t>D.STAT1</t>
        </is>
      </c>
      <c r="D583" s="23" t="inlineStr">
        <is>
          <t>CPT</t>
        </is>
      </c>
      <c r="E583" s="22" t="inlineStr">
        <is>
          <t>Ecrit 9 sacs</t>
        </is>
      </c>
      <c r="F583" s="22" t="inlineStr">
        <is>
          <t>La valeur centrale de la liste non rangée est donnée : moyenne et médiane sont confondues.</t>
        </is>
      </c>
    </row>
    <row r="584">
      <c r="A584" s="20" t="inlineStr">
        <is>
          <t>2ndeC</t>
        </is>
      </c>
      <c r="B584" s="21" t="inlineStr">
        <is>
          <t>D1</t>
        </is>
      </c>
      <c r="C584" s="20" t="inlineStr">
        <is>
          <t>D.STAT1</t>
        </is>
      </c>
      <c r="D584" s="21" t="inlineStr">
        <is>
          <t>ATT</t>
        </is>
      </c>
      <c r="E584" s="20" t="inlineStr">
        <is>
          <t>Ecrit 12,2 sacs</t>
        </is>
      </c>
      <c r="F584" s="20" t="inlineStr">
        <is>
          <t>Un 15 recopié 16 donne 61 : 5 = 12,2 ; la méthode est juste, l'erreur est ponctuelle.</t>
        </is>
      </c>
    </row>
    <row r="585">
      <c r="A585" s="22" t="inlineStr">
        <is>
          <t>2ndeC</t>
        </is>
      </c>
      <c r="B585" s="23" t="inlineStr">
        <is>
          <t>N6</t>
        </is>
      </c>
      <c r="C585" s="22" t="inlineStr">
        <is>
          <t>N.RAC</t>
        </is>
      </c>
      <c r="D585" s="23" t="inlineStr">
        <is>
          <t>CPT</t>
        </is>
      </c>
      <c r="E585" s="22" t="inlineStr">
        <is>
          <t>Ecrit x = 9√2</t>
        </is>
      </c>
      <c r="F585" s="22" t="inlineStr">
        <is>
          <t>18 = 9 × 2 est vu mais 9 sort sans sa racine : confusion entre le facteur carré et sa racine.</t>
        </is>
      </c>
    </row>
    <row r="586">
      <c r="A586" s="20" t="inlineStr">
        <is>
          <t>2ndeC</t>
        </is>
      </c>
      <c r="B586" s="21" t="inlineStr">
        <is>
          <t>N6</t>
        </is>
      </c>
      <c r="C586" s="20" t="inlineStr">
        <is>
          <t>N.RAC</t>
        </is>
      </c>
      <c r="D586" s="21" t="inlineStr">
        <is>
          <t>CPT</t>
        </is>
      </c>
      <c r="E586" s="20" t="inlineStr">
        <is>
          <t>Ecrit « 3 &lt; 4 donc 3√2 &lt; 4 : Issouf a tort »</t>
        </is>
      </c>
      <c r="F586" s="20" t="inlineStr">
        <is>
          <t>Le coefficient 3 est comparé à 4 en ignorant √2 : un radical est traité comme une étiquette, pas comme un nombre.</t>
        </is>
      </c>
    </row>
    <row r="587">
      <c r="A587" s="22" t="inlineStr">
        <is>
          <t>2ndeC</t>
        </is>
      </c>
      <c r="B587" s="23" t="inlineStr">
        <is>
          <t>N6</t>
        </is>
      </c>
      <c r="C587" s="22" t="inlineStr">
        <is>
          <t>N.RAC</t>
        </is>
      </c>
      <c r="D587" s="23" t="inlineStr">
        <is>
          <t>PRQ</t>
        </is>
      </c>
      <c r="E587" s="22" t="inlineStr">
        <is>
          <t>Ecrit √18 = √(6 × 3) puis s'arrête</t>
        </is>
      </c>
      <c r="F587" s="22" t="inlineStr">
        <is>
          <t>Aucun carré parfait diviseur de 18 n'est trouvé : la décomposition d'un entier en produit de facteurs premiers (5ème) manque.</t>
        </is>
      </c>
    </row>
    <row r="588">
      <c r="A588" s="20" t="inlineStr">
        <is>
          <t>2ndeC</t>
        </is>
      </c>
      <c r="B588" s="21" t="inlineStr">
        <is>
          <t>N6</t>
        </is>
      </c>
      <c r="C588" s="20" t="inlineStr">
        <is>
          <t>N.RAC</t>
        </is>
      </c>
      <c r="D588" s="21" t="inlineStr">
        <is>
          <t>RED</t>
        </is>
      </c>
      <c r="E588" s="20" t="inlineStr">
        <is>
          <t>Ecrit x = 3√2 et « Issouf a raison » sans comparer 18 et 16</t>
        </is>
      </c>
      <c r="F588" s="20" t="inlineStr">
        <is>
          <t>La réponse est juste mais le jugement n'est appuyé sur aucune comparaison chiffrée.</t>
        </is>
      </c>
    </row>
    <row r="589">
      <c r="A589" s="22" t="inlineStr">
        <is>
          <t>2ndeC</t>
        </is>
      </c>
      <c r="B589" s="23" t="inlineStr">
        <is>
          <t>N7</t>
        </is>
      </c>
      <c r="C589" s="22" t="inlineStr">
        <is>
          <t>N.INT</t>
        </is>
      </c>
      <c r="D589" s="23" t="inlineStr">
        <is>
          <t>CPT</t>
        </is>
      </c>
      <c r="E589" s="22" t="inlineStr">
        <is>
          <t>Ecrit [-5 ; 5[</t>
        </is>
      </c>
      <c r="F589" s="22" t="inlineStr">
        <is>
          <t>Les bornes sont rangées mais le crochet fermé reste attaché à la gauche : l'échange des rôles des bornes par -2 n'est pas compris.</t>
        </is>
      </c>
    </row>
    <row r="590">
      <c r="A590" s="20" t="inlineStr">
        <is>
          <t>2ndeC</t>
        </is>
      </c>
      <c r="B590" s="21" t="inlineStr">
        <is>
          <t>N7</t>
        </is>
      </c>
      <c r="C590" s="20" t="inlineStr">
        <is>
          <t>N.INT</t>
        </is>
      </c>
      <c r="D590" s="21" t="inlineStr">
        <is>
          <t>PRC</t>
        </is>
      </c>
      <c r="E590" s="20" t="inlineStr">
        <is>
          <t>Ecrit ]-5 ; 1]</t>
        </is>
      </c>
      <c r="F590" s="20" t="inlineStr">
        <is>
          <t>La méthode est bonne mais 3 - 2 × (-1) est calculé 3 - 2 = 1 : erreur de signe.</t>
        </is>
      </c>
    </row>
    <row r="591">
      <c r="A591" s="22" t="inlineStr">
        <is>
          <t>2ndeC</t>
        </is>
      </c>
      <c r="B591" s="23" t="inlineStr">
        <is>
          <t>N7</t>
        </is>
      </c>
      <c r="C591" s="22" t="inlineStr">
        <is>
          <t>N.INT</t>
        </is>
      </c>
      <c r="D591" s="23" t="inlineStr">
        <is>
          <t>CPT</t>
        </is>
      </c>
      <c r="E591" s="22" t="inlineStr">
        <is>
          <t>Ecrit [-5 ; 5]</t>
        </is>
      </c>
      <c r="F591" s="22" t="inlineStr">
        <is>
          <t>Les deux crochets sont fermés : le caractère strict de x &lt; 4 n'est pas reporté sur l'intervalle.</t>
        </is>
      </c>
    </row>
    <row r="592">
      <c r="A592" s="20" t="inlineStr">
        <is>
          <t>2ndeC</t>
        </is>
      </c>
      <c r="B592" s="21" t="inlineStr">
        <is>
          <t>N7</t>
        </is>
      </c>
      <c r="C592" s="20" t="inlineStr">
        <is>
          <t>N.INT</t>
        </is>
      </c>
      <c r="D592" s="21" t="inlineStr">
        <is>
          <t>RED</t>
        </is>
      </c>
      <c r="E592" s="20" t="inlineStr">
        <is>
          <t>Ecrit ]-5 ; 5] et « 5 est atteinte » sans donner x = -1</t>
        </is>
      </c>
      <c r="F592" s="20" t="inlineStr">
        <is>
          <t>Le résultat est juste mais la borne atteinte n'est pas justifiée par la valeur de x qui la produit.</t>
        </is>
      </c>
    </row>
    <row r="593">
      <c r="A593" s="22" t="inlineStr">
        <is>
          <t>2ndeC</t>
        </is>
      </c>
      <c r="B593" s="23" t="inlineStr">
        <is>
          <t>L8</t>
        </is>
      </c>
      <c r="C593" s="22" t="inlineStr">
        <is>
          <t>L.IDR</t>
        </is>
      </c>
      <c r="D593" s="23" t="inlineStr">
        <is>
          <t>CPT</t>
        </is>
      </c>
      <c r="E593" s="22" t="inlineStr">
        <is>
          <t>Ecrit E = 9</t>
        </is>
      </c>
      <c r="F593" s="22" t="inlineStr">
        <is>
          <t>(2x + 3)² est développé 4x² + 9 : le carré est distribué sur la somme.</t>
        </is>
      </c>
    </row>
    <row r="594">
      <c r="A594" s="20" t="inlineStr">
        <is>
          <t>2ndeC</t>
        </is>
      </c>
      <c r="B594" s="21" t="inlineStr">
        <is>
          <t>L8</t>
        </is>
      </c>
      <c r="C594" s="20" t="inlineStr">
        <is>
          <t>L.IDR</t>
        </is>
      </c>
      <c r="D594" s="21" t="inlineStr">
        <is>
          <t>PRC</t>
        </is>
      </c>
      <c r="E594" s="20" t="inlineStr">
        <is>
          <t>Ecrit E = 6x + 9</t>
        </is>
      </c>
      <c r="F594" s="20" t="inlineStr">
        <is>
          <t>La forme a² + 2ab + b² est connue mais le double produit est calculé 2x × 3 = 6x sans le facteur 2.</t>
        </is>
      </c>
    </row>
    <row r="595">
      <c r="A595" s="22" t="inlineStr">
        <is>
          <t>2ndeC</t>
        </is>
      </c>
      <c r="B595" s="23" t="inlineStr">
        <is>
          <t>L8</t>
        </is>
      </c>
      <c r="C595" s="22" t="inlineStr">
        <is>
          <t>L.IDR</t>
        </is>
      </c>
      <c r="D595" s="23" t="inlineStr">
        <is>
          <t>PRQ</t>
        </is>
      </c>
      <c r="E595" s="22" t="inlineStr">
        <is>
          <t>Ecrit E = -2x² + 12x + 9</t>
        </is>
      </c>
      <c r="F595" s="22" t="inlineStr">
        <is>
          <t>(2x)² est écrit 2x² : la règle de la puissance d'un produit (4ème) n'est pas acquise.</t>
        </is>
      </c>
    </row>
    <row r="596">
      <c r="A596" s="20" t="inlineStr">
        <is>
          <t>2ndeC</t>
        </is>
      </c>
      <c r="B596" s="21" t="inlineStr">
        <is>
          <t>L8</t>
        </is>
      </c>
      <c r="C596" s="20" t="inlineStr">
        <is>
          <t>L.FAC1</t>
        </is>
      </c>
      <c r="D596" s="21" t="inlineStr">
        <is>
          <t>CPT</t>
        </is>
      </c>
      <c r="E596" s="20" t="inlineStr">
        <is>
          <t>Ecrit « pour x = 1, E = 21 = 3 × 7, donc Boukary a raison »</t>
        </is>
      </c>
      <c r="F596" s="20" t="inlineStr">
        <is>
          <t>Un exemple est pris pour une preuve : la portée de « pour tout entier x » n'est pas comprise.</t>
        </is>
      </c>
    </row>
    <row r="597">
      <c r="A597" s="22" t="inlineStr">
        <is>
          <t>2ndeC</t>
        </is>
      </c>
      <c r="B597" s="23" t="inlineStr">
        <is>
          <t>L8</t>
        </is>
      </c>
      <c r="C597" s="22" t="inlineStr">
        <is>
          <t>L.FAC1</t>
        </is>
      </c>
      <c r="D597" s="23" t="inlineStr">
        <is>
          <t>RED</t>
        </is>
      </c>
      <c r="E597" s="22" t="inlineStr">
        <is>
          <t>Ecrit E = 12x + 9 et « il a raison » sans écrire 3(4x + 3)</t>
        </is>
      </c>
      <c r="F597" s="22" t="inlineStr">
        <is>
          <t>Le calcul est juste mais la divisibilité par 3 n'est pas justifiée par une mise en facteur.</t>
        </is>
      </c>
    </row>
    <row r="598">
      <c r="A598" s="20" t="inlineStr">
        <is>
          <t>2ndeC</t>
        </is>
      </c>
      <c r="B598" s="21" t="inlineStr">
        <is>
          <t>L9</t>
        </is>
      </c>
      <c r="C598" s="20" t="inlineStr">
        <is>
          <t>L.FAC2</t>
        </is>
      </c>
      <c r="D598" s="21" t="inlineStr">
        <is>
          <t>PRC</t>
        </is>
      </c>
      <c r="E598" s="20" t="inlineStr">
        <is>
          <t>Ecrit F = (4x + 5)(3x - 8)</t>
        </is>
      </c>
      <c r="F598" s="20" t="inlineStr">
        <is>
          <t>La mise en facteur est juste mais (4x - 5) - (x - 3) est réduit 3x - 8 : signe de -(-3) mal exécuté.</t>
        </is>
      </c>
    </row>
    <row r="599">
      <c r="A599" s="22" t="inlineStr">
        <is>
          <t>2ndeC</t>
        </is>
      </c>
      <c r="B599" s="23" t="inlineStr">
        <is>
          <t>L9</t>
        </is>
      </c>
      <c r="C599" s="22" t="inlineStr">
        <is>
          <t>L.FAC2</t>
        </is>
      </c>
      <c r="D599" s="23" t="inlineStr">
        <is>
          <t>CNS</t>
        </is>
      </c>
      <c r="E599" s="22" t="inlineStr">
        <is>
          <t>Ecrit F = 12x² + 7x - 10 sans factoriser</t>
        </is>
      </c>
      <c r="F599" s="22" t="inlineStr">
        <is>
          <t>L'élève développe tout : la différence de deux carrés 16x² - 25 = (4x - 5)(4x + 5) n'est pas reconnue.</t>
        </is>
      </c>
    </row>
    <row r="600">
      <c r="A600" s="20" t="inlineStr">
        <is>
          <t>2ndeC</t>
        </is>
      </c>
      <c r="B600" s="21" t="inlineStr">
        <is>
          <t>L9</t>
        </is>
      </c>
      <c r="C600" s="20" t="inlineStr">
        <is>
          <t>L.EQP</t>
        </is>
      </c>
      <c r="D600" s="21" t="inlineStr">
        <is>
          <t>CPT</t>
        </is>
      </c>
      <c r="E600" s="20" t="inlineStr">
        <is>
          <t>Ecrit « 16 × (5/4)² - 25 = 0, donc Salif a raison »</t>
        </is>
      </c>
      <c r="F600" s="20" t="inlineStr">
        <is>
          <t>Annuler une partie de l'expression est confondu avec annuler F tout entier.</t>
        </is>
      </c>
    </row>
    <row r="601">
      <c r="A601" s="22" t="inlineStr">
        <is>
          <t>2ndeC</t>
        </is>
      </c>
      <c r="B601" s="23" t="inlineStr">
        <is>
          <t>L9</t>
        </is>
      </c>
      <c r="C601" s="22" t="inlineStr">
        <is>
          <t>L.EQP</t>
        </is>
      </c>
      <c r="D601" s="23" t="inlineStr">
        <is>
          <t>RED</t>
        </is>
      </c>
      <c r="E601" s="22" t="inlineStr">
        <is>
          <t>Ecrit F = (4x + 5)(3x - 2) puis « Salif a tort » sans donner -5/4 et 2/3</t>
        </is>
      </c>
      <c r="F601" s="22" t="inlineStr">
        <is>
          <t>La factorisation est juste mais le jugement n'est appuyé ni sur les valeurs qui annulent F ni sur un calcul de F(5/4).</t>
        </is>
      </c>
    </row>
    <row r="602">
      <c r="A602" s="20" t="inlineStr">
        <is>
          <t>2ndeC</t>
        </is>
      </c>
      <c r="B602" s="21" t="inlineStr">
        <is>
          <t>L10</t>
        </is>
      </c>
      <c r="C602" s="20" t="inlineStr">
        <is>
          <t>L.EQ1</t>
        </is>
      </c>
      <c r="D602" s="21" t="inlineStr">
        <is>
          <t>MOD</t>
        </is>
      </c>
      <c r="E602" s="20" t="inlineStr">
        <is>
          <t>Ecrit 2/5 x + 18 = 30, puis x = 30</t>
        </is>
      </c>
      <c r="F602" s="20" t="inlineStr">
        <is>
          <t>Le reste est égalé aux ventes : l'énoncé n'est pas traduit en « stock - ventes = reste ».</t>
        </is>
      </c>
    </row>
    <row r="603">
      <c r="A603" s="22" t="inlineStr">
        <is>
          <t>2ndeC</t>
        </is>
      </c>
      <c r="B603" s="23" t="inlineStr">
        <is>
          <t>L10</t>
        </is>
      </c>
      <c r="C603" s="22" t="inlineStr">
        <is>
          <t>L.EQ1</t>
        </is>
      </c>
      <c r="D603" s="23" t="inlineStr">
        <is>
          <t>CPT</t>
        </is>
      </c>
      <c r="E603" s="22" t="inlineStr">
        <is>
          <t>Ecrit x - 2/5 - 18 = 30, puis x = 48,4</t>
        </is>
      </c>
      <c r="F603" s="22" t="inlineStr">
        <is>
          <t>« Les 2/5 de son stock » est écrit 2/5 et non 2/5 x : prendre une fraction d'une quantité n'est pas compris comme un produit.</t>
        </is>
      </c>
    </row>
    <row r="604">
      <c r="A604" s="20" t="inlineStr">
        <is>
          <t>2ndeC</t>
        </is>
      </c>
      <c r="B604" s="21" t="inlineStr">
        <is>
          <t>L10</t>
        </is>
      </c>
      <c r="C604" s="20" t="inlineStr">
        <is>
          <t>L.EQ1</t>
        </is>
      </c>
      <c r="D604" s="21" t="inlineStr">
        <is>
          <t>PRC</t>
        </is>
      </c>
      <c r="E604" s="20" t="inlineStr">
        <is>
          <t>Ecrit 3/5 x = 48, puis x = 28,8</t>
        </is>
      </c>
      <c r="F604" s="20" t="inlineStr">
        <is>
          <t>L'équation est juste mais l'élève multiplie par 3/5 au lieu de 5/3 : erreur d'exécution de la dernière étape.</t>
        </is>
      </c>
    </row>
    <row r="605">
      <c r="A605" s="22" t="inlineStr">
        <is>
          <t>2ndeC</t>
        </is>
      </c>
      <c r="B605" s="23" t="inlineStr">
        <is>
          <t>L10</t>
        </is>
      </c>
      <c r="C605" s="22" t="inlineStr">
        <is>
          <t>L.EQ1</t>
        </is>
      </c>
      <c r="D605" s="23" t="inlineStr">
        <is>
          <t>PRQ</t>
        </is>
      </c>
      <c r="E605" s="22" t="inlineStr">
        <is>
          <t>Ecrit -1/5 x = 48, puis x = -240</t>
        </is>
      </c>
      <c r="F605" s="22" t="inlineStr">
        <is>
          <t>x - 2/5 x est réduit à -1/5 x : la soustraction d'une fraction à un entier, 1 = 5/5 (5ème), n'est pas acquise.</t>
        </is>
      </c>
    </row>
    <row r="606">
      <c r="A606" s="20" t="inlineStr">
        <is>
          <t>2ndeC</t>
        </is>
      </c>
      <c r="B606" s="21" t="inlineStr">
        <is>
          <t>L10</t>
        </is>
      </c>
      <c r="C606" s="20" t="inlineStr">
        <is>
          <t>L.EQ1</t>
        </is>
      </c>
      <c r="D606" s="21" t="inlineStr">
        <is>
          <t>RED</t>
        </is>
      </c>
      <c r="E606" s="20" t="inlineStr">
        <is>
          <t>Ecrit 80 pagnes sans nommer l'inconnue ni écrire l'équation</t>
        </is>
      </c>
      <c r="F606" s="20" t="inlineStr">
        <is>
          <t>Le résultat est juste mais la mise en équation demandée n'apparaît pas.</t>
        </is>
      </c>
    </row>
    <row r="607">
      <c r="A607" s="22" t="inlineStr">
        <is>
          <t>2ndeC</t>
        </is>
      </c>
      <c r="B607" s="23" t="inlineStr">
        <is>
          <t>L11</t>
        </is>
      </c>
      <c r="C607" s="22" t="inlineStr">
        <is>
          <t>L.INEQ1</t>
        </is>
      </c>
      <c r="D607" s="23" t="inlineStr">
        <is>
          <t>MOD</t>
        </is>
      </c>
      <c r="E607" s="22" t="inlineStr">
        <is>
          <t>Ecrit 15 800n ≤ 38 000, puis 2 participants</t>
        </is>
      </c>
      <c r="F607" s="22" t="inlineStr">
        <is>
          <t>Les frais fixes sont multipliés par le nombre de participants : la structure du tarif n'est pas traduite.</t>
        </is>
      </c>
    </row>
    <row r="608">
      <c r="A608" s="20" t="inlineStr">
        <is>
          <t>2ndeC</t>
        </is>
      </c>
      <c r="B608" s="21" t="inlineStr">
        <is>
          <t>L11</t>
        </is>
      </c>
      <c r="C608" s="20" t="inlineStr">
        <is>
          <t>L.INEQ1</t>
        </is>
      </c>
      <c r="D608" s="21" t="inlineStr">
        <is>
          <t>MOD</t>
        </is>
      </c>
      <c r="E608" s="20" t="inlineStr">
        <is>
          <t>Ecrit n ≤ 28,75 comme réponse finale</t>
        </is>
      </c>
      <c r="F608" s="20" t="inlineStr">
        <is>
          <t>La solution mathématique n'est pas retraduite dans le contexte, où n est un nombre entier de personnes.</t>
        </is>
      </c>
    </row>
    <row r="609">
      <c r="A609" s="22" t="inlineStr">
        <is>
          <t>2ndeC</t>
        </is>
      </c>
      <c r="B609" s="23" t="inlineStr">
        <is>
          <t>L11</t>
        </is>
      </c>
      <c r="C609" s="22" t="inlineStr">
        <is>
          <t>L.INEQ1</t>
        </is>
      </c>
      <c r="D609" s="23" t="inlineStr">
        <is>
          <t>CPT</t>
        </is>
      </c>
      <c r="E609" s="22" t="inlineStr">
        <is>
          <t>Ecrit 29 participants</t>
        </is>
      </c>
      <c r="F609" s="22" t="inlineStr">
        <is>
          <t>28,75 est arrondi au plus proche : arrondir et chercher le plus grand entier vérifiant n ≤ 28,75 sont confondus.</t>
        </is>
      </c>
    </row>
    <row r="610">
      <c r="A610" s="20" t="inlineStr">
        <is>
          <t>2ndeC</t>
        </is>
      </c>
      <c r="B610" s="21" t="inlineStr">
        <is>
          <t>L11</t>
        </is>
      </c>
      <c r="C610" s="20" t="inlineStr">
        <is>
          <t>L.INEQ1</t>
        </is>
      </c>
      <c r="D610" s="21" t="inlineStr">
        <is>
          <t>PRC</t>
        </is>
      </c>
      <c r="E610" s="20" t="inlineStr">
        <is>
          <t>Ecrit n ≤ 2,875, puis 2 participants</t>
        </is>
      </c>
      <c r="F610" s="20" t="inlineStr">
        <is>
          <t>L'inéquation et sa résolution sont justes jusqu'à 800n ≤ 23 000, mais la division est faite avec un zéro de trop au diviseur (23 000 : 8 000 = 2,875).</t>
        </is>
      </c>
    </row>
    <row r="611">
      <c r="A611" s="22" t="inlineStr">
        <is>
          <t>2ndeC</t>
        </is>
      </c>
      <c r="B611" s="23" t="inlineStr">
        <is>
          <t>L11</t>
        </is>
      </c>
      <c r="C611" s="22" t="inlineStr">
        <is>
          <t>L.INEQ1</t>
        </is>
      </c>
      <c r="D611" s="23" t="inlineStr">
        <is>
          <t>RED</t>
        </is>
      </c>
      <c r="E611" s="22" t="inlineStr">
        <is>
          <t>Ecrit 28 participants sans l'inéquation ni le passage à l'entier</t>
        </is>
      </c>
      <c r="F611" s="22" t="inlineStr">
        <is>
          <t>Le résultat est juste mais ni l'inéquation ni la justification du choix de 28 ne sont écrites.</t>
        </is>
      </c>
    </row>
    <row r="612">
      <c r="A612" s="20" t="inlineStr">
        <is>
          <t>2ndeC</t>
        </is>
      </c>
      <c r="B612" s="21" t="inlineStr">
        <is>
          <t>L12</t>
        </is>
      </c>
      <c r="C612" s="20" t="inlineStr">
        <is>
          <t>L.SYS</t>
        </is>
      </c>
      <c r="D612" s="21" t="inlineStr">
        <is>
          <t>MOD</t>
        </is>
      </c>
      <c r="E612" s="20" t="inlineStr">
        <is>
          <t>Ecrit s - b = 5, puis b = 47/7</t>
        </is>
      </c>
      <c r="F612" s="20" t="inlineStr">
        <is>
          <t>« Un bidon contient 5 litres de plus qu'un seau » est traduit à l'envers : le sens de la différence est inversé.</t>
        </is>
      </c>
    </row>
    <row r="613">
      <c r="A613" s="22" t="inlineStr">
        <is>
          <t>2ndeC</t>
        </is>
      </c>
      <c r="B613" s="23" t="inlineStr">
        <is>
          <t>L12</t>
        </is>
      </c>
      <c r="C613" s="22" t="inlineStr">
        <is>
          <t>L.SYS</t>
        </is>
      </c>
      <c r="D613" s="23" t="inlineStr">
        <is>
          <t>CPT</t>
        </is>
      </c>
      <c r="E613" s="22" t="inlineStr">
        <is>
          <t>Ecrit b = 2s dans le système, puis s = 62/11</t>
        </is>
      </c>
      <c r="F613" s="22" t="inlineStr">
        <is>
          <t>L'affirmation à vérifier est prise comme une donnée : hypothèse à tester et information de l'énoncé sont confondues.</t>
        </is>
      </c>
    </row>
    <row r="614">
      <c r="A614" s="20" t="inlineStr">
        <is>
          <t>2ndeC</t>
        </is>
      </c>
      <c r="B614" s="21" t="inlineStr">
        <is>
          <t>L12</t>
        </is>
      </c>
      <c r="C614" s="20" t="inlineStr">
        <is>
          <t>L.SYS</t>
        </is>
      </c>
      <c r="D614" s="21" t="inlineStr">
        <is>
          <t>PRC</t>
        </is>
      </c>
      <c r="E614" s="20" t="inlineStr">
        <is>
          <t>Ecrit 4s + 5 + 3s = 62, puis s = 57/7</t>
        </is>
      </c>
      <c r="F614" s="20" t="inlineStr">
        <is>
          <t>La substitution b = s + 5 est juste mais 4(s + 5) est développé 4s + 5 : distributivité mal exécutée.</t>
        </is>
      </c>
    </row>
    <row r="615">
      <c r="A615" s="22" t="inlineStr">
        <is>
          <t>2ndeC</t>
        </is>
      </c>
      <c r="B615" s="23" t="inlineStr">
        <is>
          <t>L12</t>
        </is>
      </c>
      <c r="C615" s="22" t="inlineStr">
        <is>
          <t>L.SYS</t>
        </is>
      </c>
      <c r="D615" s="23" t="inlineStr">
        <is>
          <t>RED</t>
        </is>
      </c>
      <c r="E615" s="22" t="inlineStr">
        <is>
          <t>Ecrit s = 6, b = 11 et « non » sans comparer 11 à 2 × 6 = 12</t>
        </is>
      </c>
      <c r="F615" s="22" t="inlineStr">
        <is>
          <t>La résolution est juste mais le jugement n'est appuyé sur aucune comparaison chiffrée.</t>
        </is>
      </c>
    </row>
    <row r="616">
      <c r="A616" s="20" t="inlineStr">
        <is>
          <t>2ndeC</t>
        </is>
      </c>
      <c r="B616" s="21" t="inlineStr">
        <is>
          <t>G7</t>
        </is>
      </c>
      <c r="C616" s="20" t="inlineStr">
        <is>
          <t>G.COL</t>
        </is>
      </c>
      <c r="D616" s="21" t="inlineStr">
        <is>
          <t>PRC</t>
        </is>
      </c>
      <c r="E616" s="20" t="inlineStr">
        <is>
          <t>Ecrit vecteur AC(5 ; m - 1), puis m = 13/3</t>
        </is>
      </c>
      <c r="F616" s="20" t="inlineStr">
        <is>
          <t>La démarche par colinéarité est juste mais 7 - (-2) est calculé 5 : erreur de signe.</t>
        </is>
      </c>
    </row>
    <row r="617">
      <c r="A617" s="22" t="inlineStr">
        <is>
          <t>2ndeC</t>
        </is>
      </c>
      <c r="B617" s="23" t="inlineStr">
        <is>
          <t>G7</t>
        </is>
      </c>
      <c r="C617" s="22" t="inlineStr">
        <is>
          <t>G.COL</t>
        </is>
      </c>
      <c r="D617" s="23" t="inlineStr">
        <is>
          <t>CNS</t>
        </is>
      </c>
      <c r="E617" s="22" t="inlineStr">
        <is>
          <t>Ecrit 3 × 9 - 2(m - 1) = 0, puis m = 29/2</t>
        </is>
      </c>
      <c r="F617" s="22" t="inlineStr">
        <is>
          <t>Le produit en croix est écrit avec les mauvais couples : la condition xy' - yx' = 0 n'est pas disponible.</t>
        </is>
      </c>
    </row>
    <row r="618">
      <c r="A618" s="20" t="inlineStr">
        <is>
          <t>2ndeC</t>
        </is>
      </c>
      <c r="B618" s="21" t="inlineStr">
        <is>
          <t>G7</t>
        </is>
      </c>
      <c r="C618" s="20" t="inlineStr">
        <is>
          <t>G.COL</t>
        </is>
      </c>
      <c r="D618" s="21" t="inlineStr">
        <is>
          <t>CPT</t>
        </is>
      </c>
      <c r="E618" s="20" t="inlineStr">
        <is>
          <t>Ecrit vecteur AB = vecteur AC, puis m = 3</t>
        </is>
      </c>
      <c r="F618" s="20" t="inlineStr">
        <is>
          <t>Alignement traduit par l'égalité des vecteurs : vecteurs colinéaires et vecteurs égaux sont confondus.</t>
        </is>
      </c>
    </row>
    <row r="619">
      <c r="A619" s="22" t="inlineStr">
        <is>
          <t>2ndeC</t>
        </is>
      </c>
      <c r="B619" s="23" t="inlineStr">
        <is>
          <t>G7</t>
        </is>
      </c>
      <c r="C619" s="22" t="inlineStr">
        <is>
          <t>G.COL</t>
        </is>
      </c>
      <c r="D619" s="23" t="inlineStr">
        <is>
          <t>RED</t>
        </is>
      </c>
      <c r="E619" s="22" t="inlineStr">
        <is>
          <t>Ecrit m = 7 sans écrire vecteur AC ni la condition de colinéarité</t>
        </is>
      </c>
      <c r="F619" s="22" t="inlineStr">
        <is>
          <t>La valeur est juste mais la démarche n'est pas lisible : la condition d'alignement n'est pas posée.</t>
        </is>
      </c>
    </row>
    <row r="620">
      <c r="A620" s="20" t="inlineStr">
        <is>
          <t>2ndeC</t>
        </is>
      </c>
      <c r="B620" s="21" t="inlineStr">
        <is>
          <t>G8</t>
        </is>
      </c>
      <c r="C620" s="20" t="inlineStr">
        <is>
          <t>G.RON</t>
        </is>
      </c>
      <c r="D620" s="21" t="inlineStr">
        <is>
          <t>CPT</t>
        </is>
      </c>
      <c r="E620" s="20" t="inlineStr">
        <is>
          <t>Ecrit F(-1 ; 2,5)</t>
        </is>
      </c>
      <c r="F620" s="20" t="inlineStr">
        <is>
          <t>La formule du milieu est appliquée à I et E comme si F était le milieu : usage inverse de la formule non compris.</t>
        </is>
      </c>
    </row>
    <row r="621">
      <c r="A621" s="22" t="inlineStr">
        <is>
          <t>2ndeC</t>
        </is>
      </c>
      <c r="B621" s="23" t="inlineStr">
        <is>
          <t>G8</t>
        </is>
      </c>
      <c r="C621" s="22" t="inlineStr">
        <is>
          <t>G.RON</t>
        </is>
      </c>
      <c r="D621" s="23" t="inlineStr">
        <is>
          <t>PRC</t>
        </is>
      </c>
      <c r="E621" s="22" t="inlineStr">
        <is>
          <t>Ecrit F(-1 ; -2)</t>
        </is>
      </c>
      <c r="F621" s="22" t="inlineStr">
        <is>
          <t>La formule 2xI - xE est juste mais 2 × 1 - (-3) est calculé -1 : erreur de signe.</t>
        </is>
      </c>
    </row>
    <row r="622">
      <c r="A622" s="20" t="inlineStr">
        <is>
          <t>2ndeC</t>
        </is>
      </c>
      <c r="B622" s="21" t="inlineStr">
        <is>
          <t>G8</t>
        </is>
      </c>
      <c r="C622" s="20" t="inlineStr">
        <is>
          <t>G.RON</t>
        </is>
      </c>
      <c r="D622" s="21" t="inlineStr">
        <is>
          <t>CPT</t>
        </is>
      </c>
      <c r="E622" s="20" t="inlineStr">
        <is>
          <t>Ecrit « xF = 5 ≠ 0, donc F n'est pas sur l'axe des abscisses »</t>
        </is>
      </c>
      <c r="F622" s="20" t="inlineStr">
        <is>
          <t>L'appartenance à l'axe des abscisses est testée sur l'abscisse : les deux axes sont confondus.</t>
        </is>
      </c>
    </row>
    <row r="623">
      <c r="A623" s="22" t="inlineStr">
        <is>
          <t>2ndeC</t>
        </is>
      </c>
      <c r="B623" s="23" t="inlineStr">
        <is>
          <t>G8</t>
        </is>
      </c>
      <c r="C623" s="22" t="inlineStr">
        <is>
          <t>G.RON</t>
        </is>
      </c>
      <c r="D623" s="23" t="inlineStr">
        <is>
          <t>RED</t>
        </is>
      </c>
      <c r="E623" s="22" t="inlineStr">
        <is>
          <t>Ecrit F(5 ; -2) et « Fatimata a tort » sans le critère d'ordonnée nulle</t>
        </is>
      </c>
      <c r="F623" s="22" t="inlineStr">
        <is>
          <t>Le résultat est juste mais le critère qui fonde le jugement n'est pas énoncé.</t>
        </is>
      </c>
    </row>
    <row r="624">
      <c r="A624" s="20" t="inlineStr">
        <is>
          <t>2ndeC</t>
        </is>
      </c>
      <c r="B624" s="21" t="inlineStr">
        <is>
          <t>G9</t>
        </is>
      </c>
      <c r="C624" s="20" t="inlineStr">
        <is>
          <t>G.PYT</t>
        </is>
      </c>
      <c r="D624" s="21" t="inlineStr">
        <is>
          <t>CPT</t>
        </is>
      </c>
      <c r="E624" s="20" t="inlineStr">
        <is>
          <t>Ecrit 9² + 14² = 277 ≠ 144</t>
        </is>
      </c>
      <c r="F624" s="20" t="inlineStr">
        <is>
          <t>La réciproque est appliquée sans prendre le plus grand côté comme hypoténuse : rôle de [BC] non compris.</t>
        </is>
      </c>
    </row>
    <row r="625">
      <c r="A625" s="22" t="inlineStr">
        <is>
          <t>2ndeC</t>
        </is>
      </c>
      <c r="B625" s="23" t="inlineStr">
        <is>
          <t>G9</t>
        </is>
      </c>
      <c r="C625" s="22" t="inlineStr">
        <is>
          <t>G.PYT</t>
        </is>
      </c>
      <c r="D625" s="23" t="inlineStr">
        <is>
          <t>CNS</t>
        </is>
      </c>
      <c r="E625" s="22" t="inlineStr">
        <is>
          <t>Ecrit 9 + 12 = 21 ≠ 14</t>
        </is>
      </c>
      <c r="F625" s="22" t="inlineStr">
        <is>
          <t>Les longueurs sont additionnées sans les carrés : la réciproque de Pythagore n'est pas mobilisée.</t>
        </is>
      </c>
    </row>
    <row r="626">
      <c r="A626" s="20" t="inlineStr">
        <is>
          <t>2ndeC</t>
        </is>
      </c>
      <c r="B626" s="21" t="inlineStr">
        <is>
          <t>G9</t>
        </is>
      </c>
      <c r="C626" s="20" t="inlineStr">
        <is>
          <t>G.PYT</t>
        </is>
      </c>
      <c r="D626" s="21" t="inlineStr">
        <is>
          <t>MOD</t>
        </is>
      </c>
      <c r="E626" s="20" t="inlineStr">
        <is>
          <t>Ecrit BC² = 9² + 12² = 225, BC = 15 et « l'angle est droit »</t>
        </is>
      </c>
      <c r="F626" s="20" t="inlineStr">
        <is>
          <t>L'intention du maçon est prise pour une donnée : la mesure réelle BC = 14 m n'est pas utilisée.</t>
        </is>
      </c>
    </row>
    <row r="627">
      <c r="A627" s="22" t="inlineStr">
        <is>
          <t>2ndeC</t>
        </is>
      </c>
      <c r="B627" s="23" t="inlineStr">
        <is>
          <t>G9</t>
        </is>
      </c>
      <c r="C627" s="22" t="inlineStr">
        <is>
          <t>G.PYT</t>
        </is>
      </c>
      <c r="D627" s="23" t="inlineStr">
        <is>
          <t>PRC</t>
        </is>
      </c>
      <c r="E627" s="22" t="inlineStr">
        <is>
          <t>Ecrit « il aurait fallu BC = 225 m »</t>
        </is>
      </c>
      <c r="F627" s="22" t="inlineStr">
        <is>
          <t>BC² = 225 est juste mais la racine carrée finale est oubliée.</t>
        </is>
      </c>
    </row>
    <row r="628">
      <c r="A628" s="20" t="inlineStr">
        <is>
          <t>2ndeC</t>
        </is>
      </c>
      <c r="B628" s="21" t="inlineStr">
        <is>
          <t>G9</t>
        </is>
      </c>
      <c r="C628" s="20" t="inlineStr">
        <is>
          <t>G.PYT</t>
        </is>
      </c>
      <c r="D628" s="21" t="inlineStr">
        <is>
          <t>RED</t>
        </is>
      </c>
      <c r="E628" s="20" t="inlineStr">
        <is>
          <t>Ecrit « l'angle n'est pas droit » et BC = 15 m sans les calculs 225 et 196</t>
        </is>
      </c>
      <c r="F628" s="20" t="inlineStr">
        <is>
          <t>Les conclusions sont justes mais ne sont appuyées sur aucune comparaison écrite.</t>
        </is>
      </c>
    </row>
    <row r="629">
      <c r="A629" s="22" t="inlineStr">
        <is>
          <t>2ndeC</t>
        </is>
      </c>
      <c r="B629" s="23" t="inlineStr">
        <is>
          <t>G10</t>
        </is>
      </c>
      <c r="C629" s="22" t="inlineStr">
        <is>
          <t>G.THA</t>
        </is>
      </c>
      <c r="D629" s="23" t="inlineStr">
        <is>
          <t>CPT</t>
        </is>
      </c>
      <c r="E629" s="22" t="inlineStr">
        <is>
          <t>Ecrit MN = 6/4 × 15 = 22,5 cm</t>
        </is>
      </c>
      <c r="F629" s="22" t="inlineStr">
        <is>
          <t>Le rapport AM/MB remplace AM/AB : le côté entier AB n'est pas reconstitué à partir de ses morceaux.</t>
        </is>
      </c>
    </row>
    <row r="630">
      <c r="A630" s="20" t="inlineStr">
        <is>
          <t>2ndeC</t>
        </is>
      </c>
      <c r="B630" s="21" t="inlineStr">
        <is>
          <t>G10</t>
        </is>
      </c>
      <c r="C630" s="20" t="inlineStr">
        <is>
          <t>G.THA</t>
        </is>
      </c>
      <c r="D630" s="21" t="inlineStr">
        <is>
          <t>PRC</t>
        </is>
      </c>
      <c r="E630" s="20" t="inlineStr">
        <is>
          <t>Ecrit MN = 15 × 10/6 = 25 cm</t>
        </is>
      </c>
      <c r="F630" s="20" t="inlineStr">
        <is>
          <t>Le théorème est bien choisi et AB = 10 est trouvé, mais le rapport est écrit à l'envers.</t>
        </is>
      </c>
    </row>
    <row r="631">
      <c r="A631" s="22" t="inlineStr">
        <is>
          <t>2ndeC</t>
        </is>
      </c>
      <c r="B631" s="23" t="inlineStr">
        <is>
          <t>G10</t>
        </is>
      </c>
      <c r="C631" s="22" t="inlineStr">
        <is>
          <t>G.THA</t>
        </is>
      </c>
      <c r="D631" s="23" t="inlineStr">
        <is>
          <t>CNS</t>
        </is>
      </c>
      <c r="E631" s="22" t="inlineStr">
        <is>
          <t>Ecrit MN = 15 - 4 = 11 cm</t>
        </is>
      </c>
      <c r="F631" s="22" t="inlineStr">
        <is>
          <t>Une longueur est retranchée à BC : le théorème de Thalès n'est pas mobilisé.</t>
        </is>
      </c>
    </row>
    <row r="632">
      <c r="A632" s="20" t="inlineStr">
        <is>
          <t>2ndeC</t>
        </is>
      </c>
      <c r="B632" s="21" t="inlineStr">
        <is>
          <t>G10</t>
        </is>
      </c>
      <c r="C632" s="20" t="inlineStr">
        <is>
          <t>G.THA</t>
        </is>
      </c>
      <c r="D632" s="21" t="inlineStr">
        <is>
          <t>RED</t>
        </is>
      </c>
      <c r="E632" s="20" t="inlineStr">
        <is>
          <t>Ecrit MN = 9 cm et « Talato a tort » sans calculer 2/3 × 15 = 10</t>
        </is>
      </c>
      <c r="F632" s="20" t="inlineStr">
        <is>
          <t>Le calcul est juste mais le jugement n'est appuyé sur aucune comparaison chiffrée.</t>
        </is>
      </c>
    </row>
    <row r="633">
      <c r="A633" s="22" t="inlineStr">
        <is>
          <t>2ndeC</t>
        </is>
      </c>
      <c r="B633" s="23" t="inlineStr">
        <is>
          <t>G11</t>
        </is>
      </c>
      <c r="C633" s="22" t="inlineStr">
        <is>
          <t>T.TRIR</t>
        </is>
      </c>
      <c r="D633" s="23" t="inlineStr">
        <is>
          <t>CPT</t>
        </is>
      </c>
      <c r="E633" s="22" t="inlineStr">
        <is>
          <t>Ecrit cos α = 45/90 = 0,5 donc α = 60°</t>
        </is>
      </c>
      <c r="F633" s="22" t="inlineStr">
        <is>
          <t>Le cosinus est utilisé avec le côté opposé : côté opposé et côté adjacent sont confondus.</t>
        </is>
      </c>
    </row>
    <row r="634">
      <c r="A634" s="20" t="inlineStr">
        <is>
          <t>2ndeC</t>
        </is>
      </c>
      <c r="B634" s="21" t="inlineStr">
        <is>
          <t>G11</t>
        </is>
      </c>
      <c r="C634" s="20" t="inlineStr">
        <is>
          <t>T.TRIR</t>
        </is>
      </c>
      <c r="D634" s="21" t="inlineStr">
        <is>
          <t>CNS</t>
        </is>
      </c>
      <c r="E634" s="20" t="inlineStr">
        <is>
          <t>Ecrit sin α = 0,5 puis s'arrête sans donner l'angle</t>
        </is>
      </c>
      <c r="F634" s="20" t="inlineStr">
        <is>
          <t>La valeur remarquable sin 30° = 0,5 n'est pas disponible.</t>
        </is>
      </c>
    </row>
    <row r="635">
      <c r="A635" s="22" t="inlineStr">
        <is>
          <t>2ndeC</t>
        </is>
      </c>
      <c r="B635" s="23" t="inlineStr">
        <is>
          <t>G11</t>
        </is>
      </c>
      <c r="C635" s="22" t="inlineStr">
        <is>
          <t>T.TRIR</t>
        </is>
      </c>
      <c r="D635" s="23" t="inlineStr">
        <is>
          <t>MOD</t>
        </is>
      </c>
      <c r="E635" s="22" t="inlineStr">
        <is>
          <t>Ecrit « même angle, donc même dénivelé : Hamidou a raison »</t>
        </is>
      </c>
      <c r="F635" s="22" t="inlineStr">
        <is>
          <t>L'angle, qui est conservé, est confondu avec le dénivelé, qui varie avec la longueur de la piste.</t>
        </is>
      </c>
    </row>
    <row r="636">
      <c r="A636" s="20" t="inlineStr">
        <is>
          <t>2ndeC</t>
        </is>
      </c>
      <c r="B636" s="21" t="inlineStr">
        <is>
          <t>G11</t>
        </is>
      </c>
      <c r="C636" s="20" t="inlineStr">
        <is>
          <t>T.TRIR</t>
        </is>
      </c>
      <c r="D636" s="21" t="inlineStr">
        <is>
          <t>CPT</t>
        </is>
      </c>
      <c r="E636" s="20" t="inlineStr">
        <is>
          <t>Ecrit 45 + 30 = 75 m</t>
        </is>
      </c>
      <c r="F636" s="20" t="inlineStr">
        <is>
          <t>La piste s'allonge de 30 m et le dénivelé aussi : raisonnement additif au lieu de proportionnel.</t>
        </is>
      </c>
    </row>
    <row r="637">
      <c r="A637" s="22" t="inlineStr">
        <is>
          <t>2ndeC</t>
        </is>
      </c>
      <c r="B637" s="23" t="inlineStr">
        <is>
          <t>G11</t>
        </is>
      </c>
      <c r="C637" s="22" t="inlineStr">
        <is>
          <t>T.TRIR</t>
        </is>
      </c>
      <c r="D637" s="23" t="inlineStr">
        <is>
          <t>RED</t>
        </is>
      </c>
      <c r="E637" s="22" t="inlineStr">
        <is>
          <t>Ecrit α = 30° et 60 m sans écrire la ligne trigonométrique utilisée</t>
        </is>
      </c>
      <c r="F637" s="22" t="inlineStr">
        <is>
          <t>Les valeurs sont justes mais le choix du sinus n'est pas justifié.</t>
        </is>
      </c>
    </row>
    <row r="638">
      <c r="A638" s="20" t="inlineStr">
        <is>
          <t>2ndeC</t>
        </is>
      </c>
      <c r="B638" s="21" t="inlineStr">
        <is>
          <t>F2</t>
        </is>
      </c>
      <c r="C638" s="20" t="inlineStr">
        <is>
          <t>F.LIN</t>
        </is>
      </c>
      <c r="D638" s="21" t="inlineStr">
        <is>
          <t>PRC</t>
        </is>
      </c>
      <c r="E638" s="20" t="inlineStr">
        <is>
          <t>Ecrit b = 7, puis y = -2x + 7 et « Awa a tort »</t>
        </is>
      </c>
      <c r="F638" s="20" t="inlineStr">
        <is>
          <t>Le coefficient -2 est juste mais 5 = -2 × (-1) + b est résolu avec une erreur de signe.</t>
        </is>
      </c>
    </row>
    <row r="639">
      <c r="A639" s="22" t="inlineStr">
        <is>
          <t>2ndeC</t>
        </is>
      </c>
      <c r="B639" s="23" t="inlineStr">
        <is>
          <t>F2</t>
        </is>
      </c>
      <c r="C639" s="22" t="inlineStr">
        <is>
          <t>F.LIN</t>
        </is>
      </c>
      <c r="D639" s="23" t="inlineStr">
        <is>
          <t>CPT</t>
        </is>
      </c>
      <c r="E639" s="22" t="inlineStr">
        <is>
          <t>Ecrit a = 4/(-8) = -1/2</t>
        </is>
      </c>
      <c r="F639" s="22" t="inlineStr">
        <is>
          <t>Le coefficient directeur est calculé Δx/Δy : le quotient est inversé.</t>
        </is>
      </c>
    </row>
    <row r="640">
      <c r="A640" s="20" t="inlineStr">
        <is>
          <t>2ndeC</t>
        </is>
      </c>
      <c r="B640" s="21" t="inlineStr">
        <is>
          <t>F2</t>
        </is>
      </c>
      <c r="C640" s="20" t="inlineStr">
        <is>
          <t>F.LIN</t>
        </is>
      </c>
      <c r="D640" s="21" t="inlineStr">
        <is>
          <t>CNS</t>
        </is>
      </c>
      <c r="E640" s="20" t="inlineStr">
        <is>
          <t>Ecrit y = -2x, puis « Awa a tort »</t>
        </is>
      </c>
      <c r="F640" s="20" t="inlineStr">
        <is>
          <t>Le coefficient est trouvé mais la détermination de l'ordonnée à l'origine n'est pas disponible.</t>
        </is>
      </c>
    </row>
    <row r="641">
      <c r="A641" s="22" t="inlineStr">
        <is>
          <t>2ndeC</t>
        </is>
      </c>
      <c r="B641" s="23" t="inlineStr">
        <is>
          <t>F2</t>
        </is>
      </c>
      <c r="C641" s="22" t="inlineStr">
        <is>
          <t>F.LIN</t>
        </is>
      </c>
      <c r="D641" s="23" t="inlineStr">
        <is>
          <t>RED</t>
        </is>
      </c>
      <c r="E641" s="22" t="inlineStr">
        <is>
          <t>Ecrit y = -2x + 3 et « C appartient à (D) » sans substituer x = 2</t>
        </is>
      </c>
      <c r="F641" s="22" t="inlineStr">
        <is>
          <t>L'équation est juste mais l'appartenance de C est affirmée sans calcul.</t>
        </is>
      </c>
    </row>
    <row r="642">
      <c r="A642" s="20" t="inlineStr">
        <is>
          <t>2ndeC</t>
        </is>
      </c>
      <c r="B642" s="21" t="inlineStr">
        <is>
          <t>D2</t>
        </is>
      </c>
      <c r="C642" s="20" t="inlineStr">
        <is>
          <t>D.STAT1</t>
        </is>
      </c>
      <c r="D642" s="21" t="inlineStr">
        <is>
          <t>MOD</t>
        </is>
      </c>
      <c r="E642" s="20" t="inlineStr">
        <is>
          <t>Ecrit 7 + 8 + 4 = 19 membres, puis « il a raison »</t>
        </is>
      </c>
      <c r="F642" s="20" t="inlineStr">
        <is>
          <t>« Au moins 4 sacs » inclut à tort les membres à 3 sacs : la formulation n'est pas traduite.</t>
        </is>
      </c>
    </row>
    <row r="643">
      <c r="A643" s="22" t="inlineStr">
        <is>
          <t>2ndeC</t>
        </is>
      </c>
      <c r="B643" s="23" t="inlineStr">
        <is>
          <t>D2</t>
        </is>
      </c>
      <c r="C643" s="22" t="inlineStr">
        <is>
          <t>D.STAT1</t>
        </is>
      </c>
      <c r="D643" s="23" t="inlineStr">
        <is>
          <t>PRC</t>
        </is>
      </c>
      <c r="E643" s="22" t="inlineStr">
        <is>
          <t>Ecrit 6 + 8 + 4 = 16, donc x = 9</t>
        </is>
      </c>
      <c r="F643" s="22" t="inlineStr">
        <is>
          <t>La méthode par le total est juste mais la somme des effectifs connus est mal calculée.</t>
        </is>
      </c>
    </row>
    <row r="644">
      <c r="A644" s="20" t="inlineStr">
        <is>
          <t>2ndeC</t>
        </is>
      </c>
      <c r="B644" s="21" t="inlineStr">
        <is>
          <t>D2</t>
        </is>
      </c>
      <c r="C644" s="20" t="inlineStr">
        <is>
          <t>D.STAT1</t>
        </is>
      </c>
      <c r="D644" s="21" t="inlineStr">
        <is>
          <t>CPT</t>
        </is>
      </c>
      <c r="E644" s="20" t="inlineStr">
        <is>
          <t>Ecrit « la moitié de 25 est 12, donc 12 membres, il a raison »</t>
        </is>
      </c>
      <c r="F644" s="20" t="inlineStr">
        <is>
          <t>La moitié d'un effectif impair est arrondie à 12 : « plus de la moitié » n'est pas compris comme strictement plus de 12,5.</t>
        </is>
      </c>
    </row>
    <row r="645">
      <c r="A645" s="22" t="inlineStr">
        <is>
          <t>2ndeC</t>
        </is>
      </c>
      <c r="B645" s="23" t="inlineStr">
        <is>
          <t>D2</t>
        </is>
      </c>
      <c r="C645" s="22" t="inlineStr">
        <is>
          <t>D.STAT1</t>
        </is>
      </c>
      <c r="D645" s="23" t="inlineStr">
        <is>
          <t>RED</t>
        </is>
      </c>
      <c r="E645" s="22" t="inlineStr">
        <is>
          <t>Ecrit x = 7 et « il a tort » sans le cumul 12 ni la comparaison à 12,5</t>
        </is>
      </c>
      <c r="F645" s="22" t="inlineStr">
        <is>
          <t>La conclusion est juste mais ne s'appuie sur aucun calcul.</t>
        </is>
      </c>
    </row>
    <row r="646">
      <c r="A646" s="20" t="inlineStr">
        <is>
          <t>2ndeC</t>
        </is>
      </c>
      <c r="B646" s="21" t="inlineStr">
        <is>
          <t>P1.1</t>
        </is>
      </c>
      <c r="C646" s="20" t="inlineStr">
        <is>
          <t>G.RON</t>
        </is>
      </c>
      <c r="D646" s="21" t="inlineStr">
        <is>
          <t>CNS</t>
        </is>
      </c>
      <c r="E646" s="20" t="inlineStr">
        <is>
          <t>Ecrit AB = 6 + 8 = 14</t>
        </is>
      </c>
      <c r="F646" s="20" t="inlineStr">
        <is>
          <t>Les écarts de coordonnées sont additionnés : la formule de la distance n'est pas disponible.</t>
        </is>
      </c>
    </row>
    <row r="647">
      <c r="A647" s="22" t="inlineStr">
        <is>
          <t>2ndeC</t>
        </is>
      </c>
      <c r="B647" s="23" t="inlineStr">
        <is>
          <t>P1.1</t>
        </is>
      </c>
      <c r="C647" s="22" t="inlineStr">
        <is>
          <t>G.RON</t>
        </is>
      </c>
      <c r="D647" s="23" t="inlineStr">
        <is>
          <t>CPT</t>
        </is>
      </c>
      <c r="E647" s="22" t="inlineStr">
        <is>
          <t>Ecrit AB = √(8² + 12²) = √208</t>
        </is>
      </c>
      <c r="F647" s="22" t="inlineStr">
        <is>
          <t>Les coordonnées sont additionnées (1 + 7 ; 2 + 10) au lieu d'être soustraites : vecteur et milieu sont confondus.</t>
        </is>
      </c>
    </row>
    <row r="648">
      <c r="A648" s="20" t="inlineStr">
        <is>
          <t>2ndeC</t>
        </is>
      </c>
      <c r="B648" s="21" t="inlineStr">
        <is>
          <t>P1.1</t>
        </is>
      </c>
      <c r="C648" s="20" t="inlineStr">
        <is>
          <t>G.RON</t>
        </is>
      </c>
      <c r="D648" s="21" t="inlineStr">
        <is>
          <t>PRC</t>
        </is>
      </c>
      <c r="E648" s="20" t="inlineStr">
        <is>
          <t>Ecrit AB = 100</t>
        </is>
      </c>
      <c r="F648" s="20" t="inlineStr">
        <is>
          <t>36 + 64 = 100 est juste mais la racine carrée finale est oubliée.</t>
        </is>
      </c>
    </row>
    <row r="649">
      <c r="A649" s="22" t="inlineStr">
        <is>
          <t>2ndeC</t>
        </is>
      </c>
      <c r="B649" s="23" t="inlineStr">
        <is>
          <t>P1.1</t>
        </is>
      </c>
      <c r="C649" s="22" t="inlineStr">
        <is>
          <t>G.RON</t>
        </is>
      </c>
      <c r="D649" s="23" t="inlineStr">
        <is>
          <t>RED</t>
        </is>
      </c>
      <c r="E649" s="22" t="inlineStr">
        <is>
          <t>Ecrit AB = 10 et AC = 12 sans formule ni coordonnées</t>
        </is>
      </c>
      <c r="F649" s="22" t="inlineStr">
        <is>
          <t>Les valeurs sont justes mais aucun calcul ne les établit.</t>
        </is>
      </c>
    </row>
    <row r="650">
      <c r="A650" s="20" t="inlineStr">
        <is>
          <t>2ndeC</t>
        </is>
      </c>
      <c r="B650" s="21" t="inlineStr">
        <is>
          <t>P1.2</t>
        </is>
      </c>
      <c r="C650" s="20" t="inlineStr">
        <is>
          <t>N.PRIO</t>
        </is>
      </c>
      <c r="D650" s="21" t="inlineStr">
        <is>
          <t>MOD</t>
        </is>
      </c>
      <c r="E650" s="20" t="inlineStr">
        <is>
          <t>Ecrit 32 m</t>
        </is>
      </c>
      <c r="F650" s="20" t="inlineStr">
        <is>
          <t>L'unité du repère n'est pas convertie : la donnée « l'unité vaut 10 m » n'est pas utilisée.</t>
        </is>
      </c>
    </row>
    <row r="651">
      <c r="A651" s="22" t="inlineStr">
        <is>
          <t>2ndeC</t>
        </is>
      </c>
      <c r="B651" s="23" t="inlineStr">
        <is>
          <t>P1.2</t>
        </is>
      </c>
      <c r="C651" s="22" t="inlineStr">
        <is>
          <t>N.PRIO</t>
        </is>
      </c>
      <c r="D651" s="23" t="inlineStr">
        <is>
          <t>PRC</t>
        </is>
      </c>
      <c r="E651" s="22" t="inlineStr">
        <is>
          <t>Ecrit 10 + 10 + 12 × 10 = 140 m</t>
        </is>
      </c>
      <c r="F651" s="22" t="inlineStr">
        <is>
          <t>La conversion est voulue sur la somme mais, faute de parenthèses, elle ne porte que sur 12.</t>
        </is>
      </c>
    </row>
    <row r="652">
      <c r="A652" s="20" t="inlineStr">
        <is>
          <t>2ndeC</t>
        </is>
      </c>
      <c r="B652" s="21" t="inlineStr">
        <is>
          <t>P1.2</t>
        </is>
      </c>
      <c r="C652" s="20" t="inlineStr">
        <is>
          <t>N.PRIO</t>
        </is>
      </c>
      <c r="D652" s="21" t="inlineStr">
        <is>
          <t>CPT</t>
        </is>
      </c>
      <c r="E652" s="20" t="inlineStr">
        <is>
          <t>Ecrit 32 : 10 = 3,2 m</t>
        </is>
      </c>
      <c r="F652" s="20" t="inlineStr">
        <is>
          <t>La conversion se fait dans le mauvais sens : une unité de 10 m est prise pour un dixième de mètre.</t>
        </is>
      </c>
    </row>
    <row r="653">
      <c r="A653" s="22" t="inlineStr">
        <is>
          <t>2ndeC</t>
        </is>
      </c>
      <c r="B653" s="23" t="inlineStr">
        <is>
          <t>P1.2</t>
        </is>
      </c>
      <c r="C653" s="22" t="inlineStr">
        <is>
          <t>N.PRIO</t>
        </is>
      </c>
      <c r="D653" s="23" t="inlineStr">
        <is>
          <t>ATT</t>
        </is>
      </c>
      <c r="E653" s="22" t="inlineStr">
        <is>
          <t>Ecrit (10 + 12) × 10 = 220 m</t>
        </is>
      </c>
      <c r="F653" s="22" t="inlineStr">
        <is>
          <t>Un des deux côtés de 10 unités est oublié dans la somme : omission ponctuelle, la conversion est juste.</t>
        </is>
      </c>
    </row>
    <row r="654">
      <c r="A654" s="20" t="inlineStr">
        <is>
          <t>2ndeC</t>
        </is>
      </c>
      <c r="B654" s="21" t="inlineStr">
        <is>
          <t>P1.3</t>
        </is>
      </c>
      <c r="C654" s="20" t="inlineStr">
        <is>
          <t>N.PRIO</t>
        </is>
      </c>
      <c r="D654" s="21" t="inlineStr">
        <is>
          <t>PRC</t>
        </is>
      </c>
      <c r="E654" s="20" t="inlineStr">
        <is>
          <t>Ecrit 3 840 000 FCFA, puis « la somme ne suffit pas »</t>
        </is>
      </c>
      <c r="F654" s="20" t="inlineStr">
        <is>
          <t>Le produit est le bon choix mais un zéro de trop est ajouté : 320 × 1 200 est mal exécuté.</t>
        </is>
      </c>
    </row>
    <row r="655">
      <c r="A655" s="22" t="inlineStr">
        <is>
          <t>2ndeC</t>
        </is>
      </c>
      <c r="B655" s="23" t="inlineStr">
        <is>
          <t>P1.3</t>
        </is>
      </c>
      <c r="C655" s="22" t="inlineStr">
        <is>
          <t>N.PRIO</t>
        </is>
      </c>
      <c r="D655" s="23" t="inlineStr">
        <is>
          <t>MOD</t>
        </is>
      </c>
      <c r="E655" s="22" t="inlineStr">
        <is>
          <t>Ecrit 32 × 1 200 = 38 400 FCFA</t>
        </is>
      </c>
      <c r="F655" s="22" t="inlineStr">
        <is>
          <t>Le prix au mètre est appliqué au périmètre en unités du repère : les unités ne sont pas mises en correspondance.</t>
        </is>
      </c>
    </row>
    <row r="656">
      <c r="A656" s="20" t="inlineStr">
        <is>
          <t>2ndeC</t>
        </is>
      </c>
      <c r="B656" s="21" t="inlineStr">
        <is>
          <t>P1.3</t>
        </is>
      </c>
      <c r="C656" s="20" t="inlineStr">
        <is>
          <t>N.PRIO</t>
        </is>
      </c>
      <c r="D656" s="21" t="inlineStr">
        <is>
          <t>CPT</t>
        </is>
      </c>
      <c r="E656" s="20" t="inlineStr">
        <is>
          <t>Ecrit « 384 000 &lt; 400 000, donc la somme ne suffit pas »</t>
        </is>
      </c>
      <c r="F656" s="20" t="inlineStr">
        <is>
          <t>La comparaison est juste mais son sens est mal relié à la décision : « suffire » n'est pas associé à coût ≤ budget.</t>
        </is>
      </c>
    </row>
    <row r="657">
      <c r="A657" s="22" t="inlineStr">
        <is>
          <t>2ndeC</t>
        </is>
      </c>
      <c r="B657" s="23" t="inlineStr">
        <is>
          <t>P1.3</t>
        </is>
      </c>
      <c r="C657" s="22" t="inlineStr">
        <is>
          <t>N.PRIO</t>
        </is>
      </c>
      <c r="D657" s="23" t="inlineStr">
        <is>
          <t>RED</t>
        </is>
      </c>
      <c r="E657" s="22" t="inlineStr">
        <is>
          <t>Ecrit 384 000 FCFA sans comparaison ni phrase de conclusion</t>
        </is>
      </c>
      <c r="F657" s="22" t="inlineStr">
        <is>
          <t>Le calcul est juste mais la décision demandée n'est pas rédigée.</t>
        </is>
      </c>
    </row>
    <row r="658">
      <c r="A658" s="20" t="inlineStr">
        <is>
          <t>2ndeC</t>
        </is>
      </c>
      <c r="B658" s="21" t="inlineStr">
        <is>
          <t>P2.1</t>
        </is>
      </c>
      <c r="C658" s="20" t="inlineStr">
        <is>
          <t>G.PYT</t>
        </is>
      </c>
      <c r="D658" s="21" t="inlineStr">
        <is>
          <t>CPT</t>
        </is>
      </c>
      <c r="E658" s="20" t="inlineStr">
        <is>
          <t>Ecrit BC² = 80² - 60² = 2 800</t>
        </is>
      </c>
      <c r="F658" s="20" t="inlineStr">
        <is>
          <t>[BC] est traité comme un côté de l'angle droit : l'hypoténuse n'est pas identifiée.</t>
        </is>
      </c>
    </row>
    <row r="659">
      <c r="A659" s="22" t="inlineStr">
        <is>
          <t>2ndeC</t>
        </is>
      </c>
      <c r="B659" s="23" t="inlineStr">
        <is>
          <t>P2.1</t>
        </is>
      </c>
      <c r="C659" s="22" t="inlineStr">
        <is>
          <t>G.PYT</t>
        </is>
      </c>
      <c r="D659" s="23" t="inlineStr">
        <is>
          <t>PRC</t>
        </is>
      </c>
      <c r="E659" s="22" t="inlineStr">
        <is>
          <t>Ecrit BC = 10 000 m</t>
        </is>
      </c>
      <c r="F659" s="22" t="inlineStr">
        <is>
          <t>3 600 + 6 400 = 10 000 est juste mais la racine carrée est oubliée.</t>
        </is>
      </c>
    </row>
    <row r="660">
      <c r="A660" s="20" t="inlineStr">
        <is>
          <t>2ndeC</t>
        </is>
      </c>
      <c r="B660" s="21" t="inlineStr">
        <is>
          <t>P2.1</t>
        </is>
      </c>
      <c r="C660" s="20" t="inlineStr">
        <is>
          <t>G.THA</t>
        </is>
      </c>
      <c r="D660" s="21" t="inlineStr">
        <is>
          <t>PRC</t>
        </is>
      </c>
      <c r="E660" s="20" t="inlineStr">
        <is>
          <t>Ecrit MN = 100 × 60/45 = 400/3 m</t>
        </is>
      </c>
      <c r="F660" s="20" t="inlineStr">
        <is>
          <t>Thalès est bien choisi mais le rapport AM/AB est écrit à l'envers.</t>
        </is>
      </c>
    </row>
    <row r="661">
      <c r="A661" s="22" t="inlineStr">
        <is>
          <t>2ndeC</t>
        </is>
      </c>
      <c r="B661" s="23" t="inlineStr">
        <is>
          <t>P2.1</t>
        </is>
      </c>
      <c r="C661" s="22" t="inlineStr">
        <is>
          <t>G.THA</t>
        </is>
      </c>
      <c r="D661" s="23" t="inlineStr">
        <is>
          <t>MOD</t>
        </is>
      </c>
      <c r="E661" s="22" t="inlineStr">
        <is>
          <t>Ecrit MN = 3/4 × 80 = 60 m</t>
        </is>
      </c>
      <c r="F661" s="22" t="inlineStr">
        <is>
          <t>Le rapport est appliqué à AC au lieu de BC : la correspondance des côtés sur la figure n'est pas faite.</t>
        </is>
      </c>
    </row>
    <row r="662">
      <c r="A662" s="20" t="inlineStr">
        <is>
          <t>2ndeC</t>
        </is>
      </c>
      <c r="B662" s="21" t="inlineStr">
        <is>
          <t>P2.1</t>
        </is>
      </c>
      <c r="C662" s="20" t="inlineStr">
        <is>
          <t>G.THA</t>
        </is>
      </c>
      <c r="D662" s="21" t="inlineStr">
        <is>
          <t>CNS</t>
        </is>
      </c>
      <c r="E662" s="20" t="inlineStr">
        <is>
          <t>Ecrit MN = 100 - 15 = 85 m</t>
        </is>
      </c>
      <c r="F662" s="20" t="inlineStr">
        <is>
          <t>Une longueur est retranchée à BC : le théorème de Thalès n'est pas mobilisé.</t>
        </is>
      </c>
    </row>
    <row r="663">
      <c r="A663" s="22" t="inlineStr">
        <is>
          <t>2ndeC</t>
        </is>
      </c>
      <c r="B663" s="23" t="inlineStr">
        <is>
          <t>P2.2</t>
        </is>
      </c>
      <c r="C663" s="22" t="inlineStr">
        <is>
          <t>T.TRIR</t>
        </is>
      </c>
      <c r="D663" s="23" t="inlineStr">
        <is>
          <t>CPT</t>
        </is>
      </c>
      <c r="E663" s="22" t="inlineStr">
        <is>
          <t>Ecrit sin ABC = 60/100 = 0,6, puis MH = 9 m</t>
        </is>
      </c>
      <c r="F663" s="22" t="inlineStr">
        <is>
          <t>Le côté adjacent est mis au numérateur : sinus et cosinus sont confondus.</t>
        </is>
      </c>
    </row>
    <row r="664">
      <c r="A664" s="20" t="inlineStr">
        <is>
          <t>2ndeC</t>
        </is>
      </c>
      <c r="B664" s="21" t="inlineStr">
        <is>
          <t>P2.2</t>
        </is>
      </c>
      <c r="C664" s="20" t="inlineStr">
        <is>
          <t>T.TRIR</t>
        </is>
      </c>
      <c r="D664" s="21" t="inlineStr">
        <is>
          <t>MOD</t>
        </is>
      </c>
      <c r="E664" s="20" t="inlineStr">
        <is>
          <t>Ecrit MH = 45 × 0,8 = 36 m</t>
        </is>
      </c>
      <c r="F664" s="20" t="inlineStr">
        <is>
          <t>AM remplace MB : le triangle rectangle MBH n'est pas identifié sur la figure.</t>
        </is>
      </c>
    </row>
    <row r="665">
      <c r="A665" s="22" t="inlineStr">
        <is>
          <t>2ndeC</t>
        </is>
      </c>
      <c r="B665" s="23" t="inlineStr">
        <is>
          <t>P2.2</t>
        </is>
      </c>
      <c r="C665" s="22" t="inlineStr">
        <is>
          <t>T.TRIR</t>
        </is>
      </c>
      <c r="D665" s="23" t="inlineStr">
        <is>
          <t>PRC</t>
        </is>
      </c>
      <c r="E665" s="22" t="inlineStr">
        <is>
          <t>Ecrit MH = 15 : 0,8 = 18,75 m</t>
        </is>
      </c>
      <c r="F665" s="22" t="inlineStr">
        <is>
          <t>sin ABC = MH/MB est juste mais l'égalité est mal transformée : division au lieu de multiplication.</t>
        </is>
      </c>
    </row>
    <row r="666">
      <c r="A666" s="20" t="inlineStr">
        <is>
          <t>2ndeC</t>
        </is>
      </c>
      <c r="B666" s="21" t="inlineStr">
        <is>
          <t>P2.2</t>
        </is>
      </c>
      <c r="C666" s="20" t="inlineStr">
        <is>
          <t>T.TRIR</t>
        </is>
      </c>
      <c r="D666" s="21" t="inlineStr">
        <is>
          <t>CNS</t>
        </is>
      </c>
      <c r="E666" s="20" t="inlineStr">
        <is>
          <t>Ecrit « distance de M à (BC) = MB = 15 m »</t>
        </is>
      </c>
      <c r="F666" s="20" t="inlineStr">
        <is>
          <t>La distance d'un point à une droite comme longueur de la perpendiculaire n'est pas disponible.</t>
        </is>
      </c>
    </row>
    <row r="667">
      <c r="A667" s="22" t="inlineStr">
        <is>
          <t>2ndeC</t>
        </is>
      </c>
      <c r="B667" s="23" t="inlineStr">
        <is>
          <t>P2.2</t>
        </is>
      </c>
      <c r="C667" s="22" t="inlineStr">
        <is>
          <t>T.TRIR</t>
        </is>
      </c>
      <c r="D667" s="23" t="inlineStr">
        <is>
          <t>RED</t>
        </is>
      </c>
      <c r="E667" s="22" t="inlineStr">
        <is>
          <t>Ecrit MH = 12 m sans justifier que l'angle en B de MBH est l'angle ABC</t>
        </is>
      </c>
      <c r="F667" s="22" t="inlineStr">
        <is>
          <t>Le résultat est juste mais le report de l'angle dans le triangle MBH n'est pas justifié.</t>
        </is>
      </c>
    </row>
    <row r="668">
      <c r="A668" s="20" t="inlineStr">
        <is>
          <t>2ndeC</t>
        </is>
      </c>
      <c r="B668" s="21" t="inlineStr">
        <is>
          <t>P2.3</t>
        </is>
      </c>
      <c r="C668" s="20" t="inlineStr">
        <is>
          <t>G.THA</t>
        </is>
      </c>
      <c r="D668" s="21" t="inlineStr">
        <is>
          <t>CPT</t>
        </is>
      </c>
      <c r="E668" s="20" t="inlineStr">
        <is>
          <t>Ecrit « MN est aux 3/4 de BC, donc MBCN fait 1/4 du champ, soit 600 m² : Sibiri a tort »</t>
        </is>
      </c>
      <c r="F668" s="20" t="inlineStr">
        <is>
          <t>Le rapport de réduction des longueurs est appliqué tel quel aux aires.</t>
        </is>
      </c>
    </row>
    <row r="669">
      <c r="A669" s="22" t="inlineStr">
        <is>
          <t>2ndeC</t>
        </is>
      </c>
      <c r="B669" s="23" t="inlineStr">
        <is>
          <t>P2.3</t>
        </is>
      </c>
      <c r="C669" s="22" t="inlineStr">
        <is>
          <t>N.RAT</t>
        </is>
      </c>
      <c r="D669" s="23" t="inlineStr">
        <is>
          <t>PRQ</t>
        </is>
      </c>
      <c r="E669" s="22" t="inlineStr">
        <is>
          <t>Ecrit aire de MBCN = (75 + 100) × 12 = 2 100 m²</t>
        </is>
      </c>
      <c r="F669" s="22" t="inlineStr">
        <is>
          <t>La division par 2 manque dans l'aire du trapèze : formule d'aire du trapèze (primaire, 6ème) non acquise.</t>
        </is>
      </c>
    </row>
    <row r="670">
      <c r="A670" s="20" t="inlineStr">
        <is>
          <t>2ndeC</t>
        </is>
      </c>
      <c r="B670" s="21" t="inlineStr">
        <is>
          <t>P2.3</t>
        </is>
      </c>
      <c r="C670" s="20" t="inlineStr">
        <is>
          <t>N.RAT</t>
        </is>
      </c>
      <c r="D670" s="21" t="inlineStr">
        <is>
          <t>PRC</t>
        </is>
      </c>
      <c r="E670" s="20" t="inlineStr">
        <is>
          <t>Ecrit aire de ABC = 60 × 80 = 4 800 m², tiers 1 600 m², « Sibiri a tort »</t>
        </is>
      </c>
      <c r="F670" s="20" t="inlineStr">
        <is>
          <t>La démarche est juste mais la division par 2 de l'aire du triangle rectangle est omise.</t>
        </is>
      </c>
    </row>
    <row r="671">
      <c r="A671" s="22" t="inlineStr">
        <is>
          <t>2ndeC</t>
        </is>
      </c>
      <c r="B671" s="23" t="inlineStr">
        <is>
          <t>P2.3</t>
        </is>
      </c>
      <c r="C671" s="22" t="inlineStr">
        <is>
          <t>N.RAT</t>
        </is>
      </c>
      <c r="D671" s="23" t="inlineStr">
        <is>
          <t>MOD</t>
        </is>
      </c>
      <c r="E671" s="22" t="inlineStr">
        <is>
          <t>Compare 1 050 m² à l'aire de AMN, 1 350 m², et conclut « Sibiri a tort »</t>
        </is>
      </c>
      <c r="F671" s="22" t="inlineStr">
        <is>
          <t>« Plus du tiers du champ » est traduit en « plus que le reste du champ » : la comparaison demandée n'est pas modélisée.</t>
        </is>
      </c>
    </row>
    <row r="672">
      <c r="A672" s="20" t="inlineStr">
        <is>
          <t>2ndeC</t>
        </is>
      </c>
      <c r="B672" s="21" t="inlineStr">
        <is>
          <t>P2.3</t>
        </is>
      </c>
      <c r="C672" s="20" t="inlineStr">
        <is>
          <t>N.RAT</t>
        </is>
      </c>
      <c r="D672" s="21" t="inlineStr">
        <is>
          <t>RED</t>
        </is>
      </c>
      <c r="E672" s="20" t="inlineStr">
        <is>
          <t>Ecrit 1 050 &gt; 800 sans phrase tranchant sur l'affirmation de Sibiri</t>
        </is>
      </c>
      <c r="F672" s="20" t="inlineStr">
        <is>
          <t>Les calculs sont justes mais la conclusion demandée n'est pas rédigée.</t>
        </is>
      </c>
    </row>
    <row r="673">
      <c r="A673" s="22" t="inlineStr">
        <is>
          <t>2ndeC</t>
        </is>
      </c>
      <c r="B673" s="23" t="inlineStr">
        <is>
          <t>P3.1</t>
        </is>
      </c>
      <c r="C673" s="22" t="inlineStr">
        <is>
          <t>F.LIN</t>
        </is>
      </c>
      <c r="D673" s="23" t="inlineStr">
        <is>
          <t>MOD</t>
        </is>
      </c>
      <c r="E673" s="22" t="inlineStr">
        <is>
          <t>Ecrit f(x) = 12 300x</t>
        </is>
      </c>
      <c r="F673" s="22" t="inlineStr">
        <is>
          <t>Les frais fixes sont multipliés par le nombre de sacs : la part fixe du tarif n'est pas modélisée.</t>
        </is>
      </c>
    </row>
    <row r="674">
      <c r="A674" s="20" t="inlineStr">
        <is>
          <t>2ndeC</t>
        </is>
      </c>
      <c r="B674" s="21" t="inlineStr">
        <is>
          <t>P3.1</t>
        </is>
      </c>
      <c r="C674" s="20" t="inlineStr">
        <is>
          <t>F.LIN</t>
        </is>
      </c>
      <c r="D674" s="21" t="inlineStr">
        <is>
          <t>MOD</t>
        </is>
      </c>
      <c r="E674" s="20" t="inlineStr">
        <is>
          <t>Ecrit f(x) = 300 × 50x + 12 000 = 15 000x + 12 000</t>
        </is>
      </c>
      <c r="F674" s="20" t="inlineStr">
        <is>
          <t>La masse de 50 kg, donnée inutile, est intégrée au modèle.</t>
        </is>
      </c>
    </row>
    <row r="675">
      <c r="A675" s="22" t="inlineStr">
        <is>
          <t>2ndeC</t>
        </is>
      </c>
      <c r="B675" s="23" t="inlineStr">
        <is>
          <t>P3.1</t>
        </is>
      </c>
      <c r="C675" s="22" t="inlineStr">
        <is>
          <t>F.LIN</t>
        </is>
      </c>
      <c r="D675" s="23" t="inlineStr">
        <is>
          <t>CPT</t>
        </is>
      </c>
      <c r="E675" s="22" t="inlineStr">
        <is>
          <t>Ecrit f(x) = 12 000x + 300</t>
        </is>
      </c>
      <c r="F675" s="22" t="inlineStr">
        <is>
          <t>Coefficient et terme constant sont échangés : leurs rôles dans une application affine ne sont pas compris.</t>
        </is>
      </c>
    </row>
    <row r="676">
      <c r="A676" s="20" t="inlineStr">
        <is>
          <t>2ndeC</t>
        </is>
      </c>
      <c r="B676" s="21" t="inlineStr">
        <is>
          <t>P3.1</t>
        </is>
      </c>
      <c r="C676" s="20" t="inlineStr">
        <is>
          <t>F.LIN</t>
        </is>
      </c>
      <c r="D676" s="21" t="inlineStr">
        <is>
          <t>CNS</t>
        </is>
      </c>
      <c r="E676" s="20" t="inlineStr">
        <is>
          <t>Ecrit f(x) = 12 300 et g(x) = 500</t>
        </is>
      </c>
      <c r="F676" s="20" t="inlineStr">
        <is>
          <t>Le prix n'est pas exprimé en fonction de x : la notion d'application affine n'est pas disponible.</t>
        </is>
      </c>
    </row>
    <row r="677">
      <c r="A677" s="22" t="inlineStr">
        <is>
          <t>2ndeC</t>
        </is>
      </c>
      <c r="B677" s="23" t="inlineStr">
        <is>
          <t>P3.2</t>
        </is>
      </c>
      <c r="C677" s="22" t="inlineStr">
        <is>
          <t>L.INEQ1</t>
        </is>
      </c>
      <c r="D677" s="23" t="inlineStr">
        <is>
          <t>CPT</t>
        </is>
      </c>
      <c r="E677" s="22" t="inlineStr">
        <is>
          <t>Ecrit -200x &lt; -12 000 donc x &lt; 60, et ]-∞ ; 60[</t>
        </is>
      </c>
      <c r="F677" s="22" t="inlineStr">
        <is>
          <t>Le sens n'est pas inversé en divisant par -200 : la règle n'est pas comprise.</t>
        </is>
      </c>
    </row>
    <row r="678">
      <c r="A678" s="20" t="inlineStr">
        <is>
          <t>2ndeC</t>
        </is>
      </c>
      <c r="B678" s="21" t="inlineStr">
        <is>
          <t>P3.2</t>
        </is>
      </c>
      <c r="C678" s="20" t="inlineStr">
        <is>
          <t>L.INEQ1</t>
        </is>
      </c>
      <c r="D678" s="21" t="inlineStr">
        <is>
          <t>PRC</t>
        </is>
      </c>
      <c r="E678" s="20" t="inlineStr">
        <is>
          <t>Ecrit x &gt; 600</t>
        </is>
      </c>
      <c r="F678" s="20" t="inlineStr">
        <is>
          <t>La résolution est bien conduite mais 12 000 : 200 est mal calculé.</t>
        </is>
      </c>
    </row>
    <row r="679">
      <c r="A679" s="22" t="inlineStr">
        <is>
          <t>2ndeC</t>
        </is>
      </c>
      <c r="B679" s="23" t="inlineStr">
        <is>
          <t>P3.2</t>
        </is>
      </c>
      <c r="C679" s="22" t="inlineStr">
        <is>
          <t>N.INT</t>
        </is>
      </c>
      <c r="D679" s="23" t="inlineStr">
        <is>
          <t>CPT</t>
        </is>
      </c>
      <c r="E679" s="22" t="inlineStr">
        <is>
          <t>Ecrit x &gt; 60 et [60 ; +∞[</t>
        </is>
      </c>
      <c r="F679" s="22" t="inlineStr">
        <is>
          <t>Le crochet fermé traduit une inégalité stricte : le lien entre stricte et crochet ouvert n'est pas compris.</t>
        </is>
      </c>
    </row>
    <row r="680">
      <c r="A680" s="20" t="inlineStr">
        <is>
          <t>2ndeC</t>
        </is>
      </c>
      <c r="B680" s="21" t="inlineStr">
        <is>
          <t>P3.2</t>
        </is>
      </c>
      <c r="C680" s="20" t="inlineStr">
        <is>
          <t>L.INEQ1</t>
        </is>
      </c>
      <c r="D680" s="21" t="inlineStr">
        <is>
          <t>ATT</t>
        </is>
      </c>
      <c r="E680" s="20" t="inlineStr">
        <is>
          <t>Recopie 300x + 12 000 &gt; 500x, puis x &lt; 60 correctement résolu</t>
        </is>
      </c>
      <c r="F680" s="20" t="inlineStr">
        <is>
          <t>Le symbole est mal recopié puis l'inéquation recopiée est bien résolue : erreur ponctuelle.</t>
        </is>
      </c>
    </row>
    <row r="681">
      <c r="A681" s="22" t="inlineStr">
        <is>
          <t>2ndeC</t>
        </is>
      </c>
      <c r="B681" s="23" t="inlineStr">
        <is>
          <t>P3.2</t>
        </is>
      </c>
      <c r="C681" s="22" t="inlineStr">
        <is>
          <t>L.INEQ1</t>
        </is>
      </c>
      <c r="D681" s="23" t="inlineStr">
        <is>
          <t>RED</t>
        </is>
      </c>
      <c r="E681" s="22" t="inlineStr">
        <is>
          <t>Ecrit ]60 ; +∞[ sans les étapes de résolution</t>
        </is>
      </c>
      <c r="F681" s="22" t="inlineStr">
        <is>
          <t>Le résultat est juste mais la résolution n'est pas montrée.</t>
        </is>
      </c>
    </row>
    <row r="682">
      <c r="A682" s="20" t="inlineStr">
        <is>
          <t>2ndeC</t>
        </is>
      </c>
      <c r="B682" s="21" t="inlineStr">
        <is>
          <t>P3.3</t>
        </is>
      </c>
      <c r="C682" s="20" t="inlineStr">
        <is>
          <t>F.LIN</t>
        </is>
      </c>
      <c r="D682" s="21" t="inlineStr">
        <is>
          <t>PRC</t>
        </is>
      </c>
      <c r="E682" s="20" t="inlineStr">
        <is>
          <t>Ecrit g(75) = 3 750 FCFA, puis « choisir Y »</t>
        </is>
      </c>
      <c r="F682" s="20" t="inlineStr">
        <is>
          <t>g(75) = 500 × 75 est le bon calcul mais un zéro est perdu, ce qui renverse la décision.</t>
        </is>
      </c>
    </row>
    <row r="683">
      <c r="A683" s="22" t="inlineStr">
        <is>
          <t>2ndeC</t>
        </is>
      </c>
      <c r="B683" s="23" t="inlineStr">
        <is>
          <t>P3.3</t>
        </is>
      </c>
      <c r="C683" s="22" t="inlineStr">
        <is>
          <t>F.LIN</t>
        </is>
      </c>
      <c r="D683" s="23" t="inlineStr">
        <is>
          <t>CPT</t>
        </is>
      </c>
      <c r="E683" s="22" t="inlineStr">
        <is>
          <t>Ecrit f(75) = 300 + 75 + 12 000 = 12 375 FCFA</t>
        </is>
      </c>
      <c r="F683" s="22" t="inlineStr">
        <is>
          <t>300x est lu comme 300 + x : le sens de l'écriture d'une image par une application affine n'est pas compris.</t>
        </is>
      </c>
    </row>
    <row r="684">
      <c r="A684" s="20" t="inlineStr">
        <is>
          <t>2ndeC</t>
        </is>
      </c>
      <c r="B684" s="21" t="inlineStr">
        <is>
          <t>P3.3</t>
        </is>
      </c>
      <c r="C684" s="20" t="inlineStr">
        <is>
          <t>L.INEQ1</t>
        </is>
      </c>
      <c r="D684" s="21" t="inlineStr">
        <is>
          <t>MOD</t>
        </is>
      </c>
      <c r="E684" s="20" t="inlineStr">
        <is>
          <t>Ecrit « 75 &gt; 60 donc Y est moins cher »</t>
        </is>
      </c>
      <c r="F684" s="20" t="inlineStr">
        <is>
          <t>La solution x &gt; 60 de f(x) &lt; g(x) est mal retraduite : c'est X qui est moins cher au-delà de 60 sacs.</t>
        </is>
      </c>
    </row>
    <row r="685">
      <c r="A685" s="22" t="inlineStr">
        <is>
          <t>2ndeC</t>
        </is>
      </c>
      <c r="B685" s="23" t="inlineStr">
        <is>
          <t>P3.3</t>
        </is>
      </c>
      <c r="C685" s="22" t="inlineStr">
        <is>
          <t>F.LIN</t>
        </is>
      </c>
      <c r="D685" s="23" t="inlineStr">
        <is>
          <t>RED</t>
        </is>
      </c>
      <c r="E685" s="22" t="inlineStr">
        <is>
          <t>Ecrit « 75 &gt; 60 donc X » sans calculer f(75) ni g(75)</t>
        </is>
      </c>
      <c r="F685" s="22" t="inlineStr">
        <is>
          <t>La conclusion est juste mais n'est pas appuyée sur les deux prix demandés.</t>
        </is>
      </c>
    </row>
    <row r="686">
      <c r="A686" s="20" t="inlineStr">
        <is>
          <t>2ndeC</t>
        </is>
      </c>
      <c r="B686" s="21" t="inlineStr">
        <is>
          <t>P4.1</t>
        </is>
      </c>
      <c r="C686" s="20" t="inlineStr">
        <is>
          <t>N.SCI</t>
        </is>
      </c>
      <c r="D686" s="21" t="inlineStr">
        <is>
          <t>CPT</t>
        </is>
      </c>
      <c r="E686" s="20" t="inlineStr">
        <is>
          <t>Ecrit 20 × 10³ litres</t>
        </is>
      </c>
      <c r="F686" s="20" t="inlineStr">
        <is>
          <t>La forme a × 10ⁿ est écrite sans exiger 1 ≤ a &lt; 10 : la notation scientifique n'est pas comprise.</t>
        </is>
      </c>
    </row>
    <row r="687">
      <c r="A687" s="22" t="inlineStr">
        <is>
          <t>2ndeC</t>
        </is>
      </c>
      <c r="B687" s="23" t="inlineStr">
        <is>
          <t>P4.1</t>
        </is>
      </c>
      <c r="C687" s="22" t="inlineStr">
        <is>
          <t>N.SCI</t>
        </is>
      </c>
      <c r="D687" s="23" t="inlineStr">
        <is>
          <t>PRC</t>
        </is>
      </c>
      <c r="E687" s="22" t="inlineStr">
        <is>
          <t>Ecrit 2 × 10³ litres</t>
        </is>
      </c>
      <c r="F687" s="22" t="inlineStr">
        <is>
          <t>800 × 25 = 20 000 est juste mais un zéro est perdu en passant à la puissance de 10.</t>
        </is>
      </c>
    </row>
    <row r="688">
      <c r="A688" s="20" t="inlineStr">
        <is>
          <t>2ndeC</t>
        </is>
      </c>
      <c r="B688" s="21" t="inlineStr">
        <is>
          <t>P4.1</t>
        </is>
      </c>
      <c r="C688" s="20" t="inlineStr">
        <is>
          <t>N.SCI</t>
        </is>
      </c>
      <c r="D688" s="21" t="inlineStr">
        <is>
          <t>MOD</t>
        </is>
      </c>
      <c r="E688" s="20" t="inlineStr">
        <is>
          <t>Ecrit 800 × 25 × 12 = 2,4 × 10⁵ litres</t>
        </is>
      </c>
      <c r="F688" s="20" t="inlineStr">
        <is>
          <t>La hauteur de 12 m, donnée inutile, entre dans le calcul de la consommation.</t>
        </is>
      </c>
    </row>
    <row r="689">
      <c r="A689" s="22" t="inlineStr">
        <is>
          <t>2ndeC</t>
        </is>
      </c>
      <c r="B689" s="23" t="inlineStr">
        <is>
          <t>P4.1</t>
        </is>
      </c>
      <c r="C689" s="22" t="inlineStr">
        <is>
          <t>N.SCI</t>
        </is>
      </c>
      <c r="D689" s="23" t="inlineStr">
        <is>
          <t>MOD</t>
        </is>
      </c>
      <c r="E689" s="22" t="inlineStr">
        <is>
          <t>Ecrit 2 × 10⁴ - 1 × 10⁴ = 1 × 10⁴ litres</t>
        </is>
      </c>
      <c r="F689" s="22" t="inlineStr">
        <is>
          <t>L'apport du forage est retranché : la consommation est confondue avec la variation du volume.</t>
        </is>
      </c>
    </row>
    <row r="690">
      <c r="A690" s="20" t="inlineStr">
        <is>
          <t>2ndeC</t>
        </is>
      </c>
      <c r="B690" s="21" t="inlineStr">
        <is>
          <t>P4.2</t>
        </is>
      </c>
      <c r="C690" s="20" t="inlineStr">
        <is>
          <t>L.EQ1</t>
        </is>
      </c>
      <c r="D690" s="21" t="inlineStr">
        <is>
          <t>MOD</t>
        </is>
      </c>
      <c r="E690" s="20" t="inlineStr">
        <is>
          <t>Ecrit n = 1,2 × 10⁵ : (2 × 10⁴) = 6 jours</t>
        </is>
      </c>
      <c r="F690" s="20" t="inlineStr">
        <is>
          <t>La consommation remplace la variation donnée : l'apport du forage n'est pas pris en compte.</t>
        </is>
      </c>
    </row>
    <row r="691">
      <c r="A691" s="22" t="inlineStr">
        <is>
          <t>2ndeC</t>
        </is>
      </c>
      <c r="B691" s="23" t="inlineStr">
        <is>
          <t>P4.2</t>
        </is>
      </c>
      <c r="C691" s="22" t="inlineStr">
        <is>
          <t>L.EQ1</t>
        </is>
      </c>
      <c r="D691" s="23" t="inlineStr">
        <is>
          <t>MOD</t>
        </is>
      </c>
      <c r="E691" s="22" t="inlineStr">
        <is>
          <t>Ecrit 1,2 × 10⁵ - n = 1 × 10⁴, puis n = 110 000</t>
        </is>
      </c>
      <c r="F691" s="22" t="inlineStr">
        <is>
          <t>La perte quotidienne n'est pas multipliée par n : la diminution jour après jour n'est pas modélisée.</t>
        </is>
      </c>
    </row>
    <row r="692">
      <c r="A692" s="20" t="inlineStr">
        <is>
          <t>2ndeC</t>
        </is>
      </c>
      <c r="B692" s="21" t="inlineStr">
        <is>
          <t>P4.2</t>
        </is>
      </c>
      <c r="C692" s="20" t="inlineStr">
        <is>
          <t>N.PUI</t>
        </is>
      </c>
      <c r="D692" s="21" t="inlineStr">
        <is>
          <t>CPT</t>
        </is>
      </c>
      <c r="E692" s="20" t="inlineStr">
        <is>
          <t>Ecrit n = 1,2 × 10⁹</t>
        </is>
      </c>
      <c r="F692" s="20" t="inlineStr">
        <is>
          <t>Les exposants sont additionnés dans le quotient 10⁵ : 10⁴ : quotient et produit de puissances sont confondus.</t>
        </is>
      </c>
    </row>
    <row r="693">
      <c r="A693" s="22" t="inlineStr">
        <is>
          <t>2ndeC</t>
        </is>
      </c>
      <c r="B693" s="23" t="inlineStr">
        <is>
          <t>P4.2</t>
        </is>
      </c>
      <c r="C693" s="22" t="inlineStr">
        <is>
          <t>N.PUI</t>
        </is>
      </c>
      <c r="D693" s="23" t="inlineStr">
        <is>
          <t>PRC</t>
        </is>
      </c>
      <c r="E693" s="22" t="inlineStr">
        <is>
          <t>Ecrit n = 1,2 × 10¹ = 120 jours</t>
        </is>
      </c>
      <c r="F693" s="22" t="inlineStr">
        <is>
          <t>Le quotient 1,2 × 10¹ est juste mais la virgule est décalée de deux rangs au lieu d'un.</t>
        </is>
      </c>
    </row>
    <row r="694">
      <c r="A694" s="20" t="inlineStr">
        <is>
          <t>2ndeC</t>
        </is>
      </c>
      <c r="B694" s="21" t="inlineStr">
        <is>
          <t>P4.2</t>
        </is>
      </c>
      <c r="C694" s="20" t="inlineStr">
        <is>
          <t>L.EQ1</t>
        </is>
      </c>
      <c r="D694" s="21" t="inlineStr">
        <is>
          <t>RED</t>
        </is>
      </c>
      <c r="E694" s="20" t="inlineStr">
        <is>
          <t>Ecrit n = 12 jours sans poser l'équation</t>
        </is>
      </c>
      <c r="F694" s="20" t="inlineStr">
        <is>
          <t>Le résultat est juste mais la mise en équation demandée n'apparaît pas.</t>
        </is>
      </c>
    </row>
    <row r="695">
      <c r="A695" s="22" t="inlineStr">
        <is>
          <t>2ndeC</t>
        </is>
      </c>
      <c r="B695" s="23" t="inlineStr">
        <is>
          <t>P4.3</t>
        </is>
      </c>
      <c r="C695" s="22" t="inlineStr">
        <is>
          <t>N.PRIO</t>
        </is>
      </c>
      <c r="D695" s="23" t="inlineStr">
        <is>
          <t>MOD</t>
        </is>
      </c>
      <c r="E695" s="22" t="inlineStr">
        <is>
          <t>Ecrit « deux semaines = 10 jours, 12 &gt; 10 : Yacouba a raison »</t>
        </is>
      </c>
      <c r="F695" s="22" t="inlineStr">
        <is>
          <t>La semaine est comptée à 5 jours (semaine d'école) : la durée de l'énoncé n'est pas traduite correctement.</t>
        </is>
      </c>
    </row>
    <row r="696">
      <c r="A696" s="20" t="inlineStr">
        <is>
          <t>2ndeC</t>
        </is>
      </c>
      <c r="B696" s="21" t="inlineStr">
        <is>
          <t>P4.3</t>
        </is>
      </c>
      <c r="C696" s="20" t="inlineStr">
        <is>
          <t>N.PRIO</t>
        </is>
      </c>
      <c r="D696" s="21" t="inlineStr">
        <is>
          <t>MOD</t>
        </is>
      </c>
      <c r="E696" s="20" t="inlineStr">
        <is>
          <t>Ecrit « 12 &gt; 2, donc Yacouba a raison »</t>
        </is>
      </c>
      <c r="F696" s="20" t="inlineStr">
        <is>
          <t>Les jours sont comparés aux semaines sans conversion : les unités ne sont pas mises en correspondance.</t>
        </is>
      </c>
    </row>
    <row r="697">
      <c r="A697" s="22" t="inlineStr">
        <is>
          <t>2ndeC</t>
        </is>
      </c>
      <c r="B697" s="23" t="inlineStr">
        <is>
          <t>P4.3</t>
        </is>
      </c>
      <c r="C697" s="22" t="inlineStr">
        <is>
          <t>N.PRIO</t>
        </is>
      </c>
      <c r="D697" s="23" t="inlineStr">
        <is>
          <t>CPT</t>
        </is>
      </c>
      <c r="E697" s="22" t="inlineStr">
        <is>
          <t>Ecrit « 12 &lt; 14, donc Yacouba a raison »</t>
        </is>
      </c>
      <c r="F697" s="22" t="inlineStr">
        <is>
          <t>La comparaison est juste mais la décision suit l'affirmation du personnage : le lien entre comparaison et jugement n'est pas compris.</t>
        </is>
      </c>
    </row>
    <row r="698">
      <c r="A698" s="20" t="inlineStr">
        <is>
          <t>2ndeC</t>
        </is>
      </c>
      <c r="B698" s="21" t="inlineStr">
        <is>
          <t>P4.3</t>
        </is>
      </c>
      <c r="C698" s="20" t="inlineStr">
        <is>
          <t>N.PRIO</t>
        </is>
      </c>
      <c r="D698" s="21" t="inlineStr">
        <is>
          <t>RED</t>
        </is>
      </c>
      <c r="E698" s="20" t="inlineStr">
        <is>
          <t>Ecrit « Yacouba a tort » sans convertir ni comparer 12 à 14</t>
        </is>
      </c>
      <c r="F698" s="20" t="inlineStr">
        <is>
          <t>Le jugement est juste mais n'est appuyé sur aucun calcul.</t>
        </is>
      </c>
    </row>
    <row r="699">
      <c r="A699" s="22" t="inlineStr">
        <is>
          <t>1ereD</t>
        </is>
      </c>
      <c r="B699" s="23" t="inlineStr">
        <is>
          <t>N1</t>
        </is>
      </c>
      <c r="C699" s="22" t="inlineStr">
        <is>
          <t>N.RAC</t>
        </is>
      </c>
      <c r="D699" s="23" t="inlineStr">
        <is>
          <t>CPT</t>
        </is>
      </c>
      <c r="E699" s="22" t="inlineStr">
        <is>
          <t>Entoure b) √60</t>
        </is>
      </c>
      <c r="F699" s="22" t="inlineStr">
        <is>
          <t>La racine carrée est traitée comme linéaire sur une somme et une différence : confusion durable sur la règle des radicaux.</t>
        </is>
      </c>
    </row>
    <row r="700">
      <c r="A700" s="20" t="inlineStr">
        <is>
          <t>1ereD</t>
        </is>
      </c>
      <c r="B700" s="21" t="inlineStr">
        <is>
          <t>N1</t>
        </is>
      </c>
      <c r="C700" s="20" t="inlineStr">
        <is>
          <t>N.RAC</t>
        </is>
      </c>
      <c r="D700" s="21" t="inlineStr">
        <is>
          <t>ATT</t>
        </is>
      </c>
      <c r="E700" s="20" t="inlineStr">
        <is>
          <t>Entoure a) 2√3</t>
        </is>
      </c>
      <c r="F700" s="20" t="inlineStr">
        <is>
          <t>Les deux premières réductions sont justes et le troisième terme disparaît : oubli ponctuel, à confirmer avant toute remédiation.</t>
        </is>
      </c>
    </row>
    <row r="701">
      <c r="A701" s="22" t="inlineStr">
        <is>
          <t>1ereD</t>
        </is>
      </c>
      <c r="B701" s="23" t="inlineStr">
        <is>
          <t>N1</t>
        </is>
      </c>
      <c r="C701" s="22" t="inlineStr">
        <is>
          <t>N.RAC</t>
        </is>
      </c>
      <c r="D701" s="23" t="inlineStr">
        <is>
          <t>PRC</t>
        </is>
      </c>
      <c r="E701" s="22" t="inlineStr">
        <is>
          <t>Entoure d) 6√3</t>
        </is>
      </c>
      <c r="F701" s="22" t="inlineStr">
        <is>
          <t>La méthode d'extraction du carré parfait est connue mais mal exécutée sur √12 (4 sorti au lieu de √4 = 2).</t>
        </is>
      </c>
    </row>
    <row r="702">
      <c r="A702" s="20" t="inlineStr">
        <is>
          <t>1ereD</t>
        </is>
      </c>
      <c r="B702" s="21" t="inlineStr">
        <is>
          <t>N2</t>
        </is>
      </c>
      <c r="C702" s="20" t="inlineStr">
        <is>
          <t>N.INT</t>
        </is>
      </c>
      <c r="D702" s="21" t="inlineStr">
        <is>
          <t>CNS</t>
        </is>
      </c>
      <c r="E702" s="20" t="inlineStr">
        <is>
          <t>Entoure a) ]-3 ; 3[</t>
        </is>
      </c>
      <c r="F702" s="20" t="inlineStr">
        <is>
          <t>Le lien entre valeur absolue et intervalle de centre a et de rayon r n'est pas disponible : seul le rayon est utilisé.</t>
        </is>
      </c>
    </row>
    <row r="703">
      <c r="A703" s="22" t="inlineStr">
        <is>
          <t>1ereD</t>
        </is>
      </c>
      <c r="B703" s="23" t="inlineStr">
        <is>
          <t>N2</t>
        </is>
      </c>
      <c r="C703" s="22" t="inlineStr">
        <is>
          <t>N.INT</t>
        </is>
      </c>
      <c r="D703" s="23" t="inlineStr">
        <is>
          <t>PRC</t>
        </is>
      </c>
      <c r="E703" s="22" t="inlineStr">
        <is>
          <t>Entoure c) ]-5 ; 1[</t>
        </is>
      </c>
      <c r="F703" s="22" t="inlineStr">
        <is>
          <t>La construction centre ± rayon est connue mais le centre est pris avec le mauvais signe.</t>
        </is>
      </c>
    </row>
    <row r="704">
      <c r="A704" s="20" t="inlineStr">
        <is>
          <t>1ereD</t>
        </is>
      </c>
      <c r="B704" s="21" t="inlineStr">
        <is>
          <t>N2</t>
        </is>
      </c>
      <c r="C704" s="20" t="inlineStr">
        <is>
          <t>N.INT</t>
        </is>
      </c>
      <c r="D704" s="21" t="inlineStr">
        <is>
          <t>CPT</t>
        </is>
      </c>
      <c r="E704" s="20" t="inlineStr">
        <is>
          <t>Entoure d) ]2 ; 5[</t>
        </is>
      </c>
      <c r="F704" s="20" t="inlineStr">
        <is>
          <t>La valeur absolue est supprimée comme si l'expression était toujours positive : seul le cas x - 2 ≥ 0 est traité.</t>
        </is>
      </c>
    </row>
    <row r="705">
      <c r="A705" s="22" t="inlineStr">
        <is>
          <t>1ereD</t>
        </is>
      </c>
      <c r="B705" s="23" t="inlineStr">
        <is>
          <t>L1</t>
        </is>
      </c>
      <c r="C705" s="22" t="inlineStr">
        <is>
          <t>L.EQ2</t>
        </is>
      </c>
      <c r="D705" s="23" t="inlineStr">
        <is>
          <t>CNS</t>
        </is>
      </c>
      <c r="E705" s="22" t="inlineStr">
        <is>
          <t>Ecrit S = {-1 ; 6}</t>
        </is>
      </c>
      <c r="F705" s="22" t="inlineStr">
        <is>
          <t>Les racines sont calculées par (5 ± 7)/2 : la formule (-b ± √Δ)/(2a) est remplacée par une division par a, énoncée fausse mais assumée.</t>
        </is>
      </c>
    </row>
    <row r="706">
      <c r="A706" s="20" t="inlineStr">
        <is>
          <t>1ereD</t>
        </is>
      </c>
      <c r="B706" s="21" t="inlineStr">
        <is>
          <t>L1</t>
        </is>
      </c>
      <c r="C706" s="20" t="inlineStr">
        <is>
          <t>L.EQ2</t>
        </is>
      </c>
      <c r="D706" s="21" t="inlineStr">
        <is>
          <t>PRC</t>
        </is>
      </c>
      <c r="E706" s="20" t="inlineStr">
        <is>
          <t>Ecrit S = {-3 ; 1/2}</t>
        </is>
      </c>
      <c r="F706" s="20" t="inlineStr">
        <is>
          <t>Δ = 49 est juste mais -b est pris égal à -5 : (-5 ± 7)/4 donne -3 et 1/2, erreur de signe dans l'exécution.</t>
        </is>
      </c>
    </row>
    <row r="707">
      <c r="A707" s="22" t="inlineStr">
        <is>
          <t>1ereD</t>
        </is>
      </c>
      <c r="B707" s="23" t="inlineStr">
        <is>
          <t>L1</t>
        </is>
      </c>
      <c r="C707" s="22" t="inlineStr">
        <is>
          <t>L.EQ2</t>
        </is>
      </c>
      <c r="D707" s="23" t="inlineStr">
        <is>
          <t>PRC</t>
        </is>
      </c>
      <c r="E707" s="22" t="inlineStr">
        <is>
          <t>Ecrit Δ = 1 puis S = {1 ; 3/2}</t>
        </is>
      </c>
      <c r="F707" s="22" t="inlineStr">
        <is>
          <t>Le produit -4 × 2 × (-3) est pris égal à -24 : Δ = 25 - 24 = 1, puis (5 ± 1)/4 donne 1 et 3/2.</t>
        </is>
      </c>
    </row>
    <row r="708">
      <c r="A708" s="20" t="inlineStr">
        <is>
          <t>1ereD</t>
        </is>
      </c>
      <c r="B708" s="21" t="inlineStr">
        <is>
          <t>L1</t>
        </is>
      </c>
      <c r="C708" s="20" t="inlineStr">
        <is>
          <t>L.EQ2</t>
        </is>
      </c>
      <c r="D708" s="21" t="inlineStr">
        <is>
          <t>ATT</t>
        </is>
      </c>
      <c r="E708" s="20" t="inlineStr">
        <is>
          <t>Ecrit S = {3}</t>
        </is>
      </c>
      <c r="F708" s="20" t="inlineStr">
        <is>
          <t>Une seule des deux racines est reportée alors que Δ est positif : oubli ponctuel, la méthode n'est pas en cause.</t>
        </is>
      </c>
    </row>
    <row r="709">
      <c r="A709" s="22" t="inlineStr">
        <is>
          <t>1ereD</t>
        </is>
      </c>
      <c r="B709" s="23" t="inlineStr">
        <is>
          <t>L2</t>
        </is>
      </c>
      <c r="C709" s="22" t="inlineStr">
        <is>
          <t>L.TRI</t>
        </is>
      </c>
      <c r="D709" s="23" t="inlineStr">
        <is>
          <t>CNS</t>
        </is>
      </c>
      <c r="E709" s="22" t="inlineStr">
        <is>
          <t>Ecrit P(x) = (x - 1)(x - 3)</t>
        </is>
      </c>
      <c r="F709" s="22" t="inlineStr">
        <is>
          <t>Les racines 1 et 3 sont justes mais le coefficient 3 manque : la forme a(x - x1)(x - x2) n'est pas disponible.</t>
        </is>
      </c>
    </row>
    <row r="710">
      <c r="A710" s="20" t="inlineStr">
        <is>
          <t>1ereD</t>
        </is>
      </c>
      <c r="B710" s="21" t="inlineStr">
        <is>
          <t>L2</t>
        </is>
      </c>
      <c r="C710" s="20" t="inlineStr">
        <is>
          <t>L.TRI</t>
        </is>
      </c>
      <c r="D710" s="21" t="inlineStr">
        <is>
          <t>CPT</t>
        </is>
      </c>
      <c r="E710" s="20" t="inlineStr">
        <is>
          <t>Ecrit P(x) = 3(x + 1)(x + 3)</t>
        </is>
      </c>
      <c r="F710" s="20" t="inlineStr">
        <is>
          <t>Les racines sont recopiées avec leur signe dans les facteurs : l'élève croit que la racine x1 donne le facteur (x + x1).</t>
        </is>
      </c>
    </row>
    <row r="711">
      <c r="A711" s="22" t="inlineStr">
        <is>
          <t>1ereD</t>
        </is>
      </c>
      <c r="B711" s="23" t="inlineStr">
        <is>
          <t>L2</t>
        </is>
      </c>
      <c r="C711" s="22" t="inlineStr">
        <is>
          <t>L.EQ2</t>
        </is>
      </c>
      <c r="D711" s="23" t="inlineStr">
        <is>
          <t>PRC</t>
        </is>
      </c>
      <c r="E711" s="22" t="inlineStr">
        <is>
          <t>Ecrit Δ = 108</t>
        </is>
      </c>
      <c r="F711" s="22" t="inlineStr">
        <is>
          <t>4ac est calculé 4 × 9 = 36 en oubliant le coefficient 3 : 144 - 36 = 108, la formule est bonne mais un facteur saute.</t>
        </is>
      </c>
    </row>
    <row r="712">
      <c r="A712" s="20" t="inlineStr">
        <is>
          <t>1ereD</t>
        </is>
      </c>
      <c r="B712" s="21" t="inlineStr">
        <is>
          <t>L2</t>
        </is>
      </c>
      <c r="C712" s="20" t="inlineStr">
        <is>
          <t>L.TRI</t>
        </is>
      </c>
      <c r="D712" s="21" t="inlineStr">
        <is>
          <t>PRC</t>
        </is>
      </c>
      <c r="E712" s="20" t="inlineStr">
        <is>
          <t>Ecrit P(x) = 3(x² - 4x + 3) et s'arrête</t>
        </is>
      </c>
      <c r="F712" s="20" t="inlineStr">
        <is>
          <t>La mise en facteur de 3 est juste mais la factorisation de x² - 4x + 3 n'est pas menée : étape omise.</t>
        </is>
      </c>
    </row>
    <row r="713">
      <c r="A713" s="22" t="inlineStr">
        <is>
          <t>1ereD</t>
        </is>
      </c>
      <c r="B713" s="23" t="inlineStr">
        <is>
          <t>L3</t>
        </is>
      </c>
      <c r="C713" s="22" t="inlineStr">
        <is>
          <t>L.SYSL</t>
        </is>
      </c>
      <c r="D713" s="23" t="inlineStr">
        <is>
          <t>PRC</t>
        </is>
      </c>
      <c r="E713" s="22" t="inlineStr">
        <is>
          <t>Ecrit S = {(2 ; 1)}</t>
        </is>
      </c>
      <c r="F713" s="22" t="inlineStr">
        <is>
          <t>L'addition donne bien x = 2, mais 2 + 2y = 0 est résolu en y = 1 : erreur de signe dans la dernière étape.</t>
        </is>
      </c>
    </row>
    <row r="714">
      <c r="A714" s="20" t="inlineStr">
        <is>
          <t>1ereD</t>
        </is>
      </c>
      <c r="B714" s="21" t="inlineStr">
        <is>
          <t>L3</t>
        </is>
      </c>
      <c r="C714" s="20" t="inlineStr">
        <is>
          <t>L.SYSL</t>
        </is>
      </c>
      <c r="D714" s="21" t="inlineStr">
        <is>
          <t>CPT</t>
        </is>
      </c>
      <c r="E714" s="20" t="inlineStr">
        <is>
          <t>Ecrit x = 2 sans valeur de y</t>
        </is>
      </c>
      <c r="F714" s="20" t="inlineStr">
        <is>
          <t>La solution d'un système de deux équations n'est pas comprise comme un couple : l'élève s'arrête à la première inconnue.</t>
        </is>
      </c>
    </row>
    <row r="715">
      <c r="A715" s="22" t="inlineStr">
        <is>
          <t>1ereD</t>
        </is>
      </c>
      <c r="B715" s="23" t="inlineStr">
        <is>
          <t>L3</t>
        </is>
      </c>
      <c r="C715" s="22" t="inlineStr">
        <is>
          <t>L.SYSL</t>
        </is>
      </c>
      <c r="D715" s="23" t="inlineStr">
        <is>
          <t>ATT</t>
        </is>
      </c>
      <c r="E715" s="22" t="inlineStr">
        <is>
          <t>Ecrit S = {(-1 ; 2)}</t>
        </is>
      </c>
      <c r="F715" s="22" t="inlineStr">
        <is>
          <t>Les deux valeurs sont justes mais le couple est écrit dans le mauvais ordre : inversion ponctuelle.</t>
        </is>
      </c>
    </row>
    <row r="716">
      <c r="A716" s="20" t="inlineStr">
        <is>
          <t>1ereD</t>
        </is>
      </c>
      <c r="B716" s="21" t="inlineStr">
        <is>
          <t>L4</t>
        </is>
      </c>
      <c r="C716" s="20" t="inlineStr">
        <is>
          <t>L.INEQ2</t>
        </is>
      </c>
      <c r="D716" s="21" t="inlineStr">
        <is>
          <t>CPT</t>
        </is>
      </c>
      <c r="E716" s="20" t="inlineStr">
        <is>
          <t>Entoure a) [-3 ; 2]</t>
        </is>
      </c>
      <c r="F716" s="20" t="inlineStr">
        <is>
          <t>Quotient et produit ont le même signe, mais l'élève oublie que le dénominateur ne peut pas s'annuler : la valeur interdite n'est pas exclue.</t>
        </is>
      </c>
    </row>
    <row r="717">
      <c r="A717" s="22" t="inlineStr">
        <is>
          <t>1ereD</t>
        </is>
      </c>
      <c r="B717" s="23" t="inlineStr">
        <is>
          <t>L4</t>
        </is>
      </c>
      <c r="C717" s="22" t="inlineStr">
        <is>
          <t>L.INEQ2</t>
        </is>
      </c>
      <c r="D717" s="23" t="inlineStr">
        <is>
          <t>PRC</t>
        </is>
      </c>
      <c r="E717" s="22" t="inlineStr">
        <is>
          <t>Entoure b) ]-∞ ; -3[ ∪ [2 ; +∞[</t>
        </is>
      </c>
      <c r="F717" s="22" t="inlineStr">
        <is>
          <t>L'étude de signe est conduite correctement puis la ligne lue est celle du signe positif : l'exploitation de ≤ 0 échoue.</t>
        </is>
      </c>
    </row>
    <row r="718">
      <c r="A718" s="20" t="inlineStr">
        <is>
          <t>1ereD</t>
        </is>
      </c>
      <c r="B718" s="21" t="inlineStr">
        <is>
          <t>L4</t>
        </is>
      </c>
      <c r="C718" s="20" t="inlineStr">
        <is>
          <t>L.INEQ2</t>
        </is>
      </c>
      <c r="D718" s="21" t="inlineStr">
        <is>
          <t>PRQ</t>
        </is>
      </c>
      <c r="E718" s="20" t="inlineStr">
        <is>
          <t>Entoure c) [-2 ; 3]</t>
        </is>
      </c>
      <c r="F718" s="20" t="inlineStr">
        <is>
          <t>La résolution de l'équation du premier degré x + b = 0 (classe de 3ème) n'est pas sûre : les zéros sont pris avec le mauvais signe.</t>
        </is>
      </c>
    </row>
    <row r="719">
      <c r="A719" s="22" t="inlineStr">
        <is>
          <t>1ereD</t>
        </is>
      </c>
      <c r="B719" s="23" t="inlineStr">
        <is>
          <t>F1</t>
        </is>
      </c>
      <c r="C719" s="22" t="inlineStr">
        <is>
          <t>F.GRA</t>
        </is>
      </c>
      <c r="D719" s="23" t="inlineStr">
        <is>
          <t>CPT</t>
        </is>
      </c>
      <c r="E719" s="22" t="inlineStr">
        <is>
          <t>Ecrit 2</t>
        </is>
      </c>
      <c r="F719" s="22" t="inlineStr">
        <is>
          <t>L'élève donne l'antécédent de 0 (point C(2 ; 0)) : image et antécédent sont confondus.</t>
        </is>
      </c>
    </row>
    <row r="720">
      <c r="A720" s="20" t="inlineStr">
        <is>
          <t>1ereD</t>
        </is>
      </c>
      <c r="B720" s="21" t="inlineStr">
        <is>
          <t>F1</t>
        </is>
      </c>
      <c r="C720" s="20" t="inlineStr">
        <is>
          <t>F.GRA</t>
        </is>
      </c>
      <c r="D720" s="21" t="inlineStr">
        <is>
          <t>CNS</t>
        </is>
      </c>
      <c r="E720" s="20" t="inlineStr">
        <is>
          <t>Ecrit 0</t>
        </is>
      </c>
      <c r="F720" s="20" t="inlineStr">
        <is>
          <t>La notion d'image n'est pas mobilisée : le nombre de départ 0 est recopié comme réponse.</t>
        </is>
      </c>
    </row>
    <row r="721">
      <c r="A721" s="22" t="inlineStr">
        <is>
          <t>1ereD</t>
        </is>
      </c>
      <c r="B721" s="23" t="inlineStr">
        <is>
          <t>F2</t>
        </is>
      </c>
      <c r="C721" s="22" t="inlineStr">
        <is>
          <t>F.DEF</t>
        </is>
      </c>
      <c r="D721" s="23" t="inlineStr">
        <is>
          <t>PRQ</t>
        </is>
      </c>
      <c r="E721" s="22" t="inlineStr">
        <is>
          <t>Ecrit D = ℝ ∖ {3}</t>
        </is>
      </c>
      <c r="F721" s="22" t="inlineStr">
        <is>
          <t>La résolution de x² = 9 (classe de 3ème) ne donne qu'une solution : la valeur interdite -3 est perdue.</t>
        </is>
      </c>
    </row>
    <row r="722">
      <c r="A722" s="20" t="inlineStr">
        <is>
          <t>1ereD</t>
        </is>
      </c>
      <c r="B722" s="21" t="inlineStr">
        <is>
          <t>F2</t>
        </is>
      </c>
      <c r="C722" s="20" t="inlineStr">
        <is>
          <t>F.DEF</t>
        </is>
      </c>
      <c r="D722" s="21" t="inlineStr">
        <is>
          <t>CPT</t>
        </is>
      </c>
      <c r="E722" s="20" t="inlineStr">
        <is>
          <t>Ecrit D = ℝ ∖ {-3 ; -1 ; 3}</t>
        </is>
      </c>
      <c r="F722" s="20" t="inlineStr">
        <is>
          <t>La valeur -1, qui annule le numérateur, est exclue aussi : l'élève croit que toute valeur annulant la fraction est interdite.</t>
        </is>
      </c>
    </row>
    <row r="723">
      <c r="A723" s="22" t="inlineStr">
        <is>
          <t>1ereD</t>
        </is>
      </c>
      <c r="B723" s="23" t="inlineStr">
        <is>
          <t>F2</t>
        </is>
      </c>
      <c r="C723" s="22" t="inlineStr">
        <is>
          <t>F.DEF</t>
        </is>
      </c>
      <c r="D723" s="23" t="inlineStr">
        <is>
          <t>CNS</t>
        </is>
      </c>
      <c r="E723" s="22" t="inlineStr">
        <is>
          <t>Ecrit D = ℝ</t>
        </is>
      </c>
      <c r="F723" s="22" t="inlineStr">
        <is>
          <t>La condition « dénominateur non nul » n'est pas mobilisée devant une fonction rationnelle.</t>
        </is>
      </c>
    </row>
    <row r="724">
      <c r="A724" s="20" t="inlineStr">
        <is>
          <t>1ereD</t>
        </is>
      </c>
      <c r="B724" s="21" t="inlineStr">
        <is>
          <t>F3</t>
        </is>
      </c>
      <c r="C724" s="20" t="inlineStr">
        <is>
          <t>F.REF</t>
        </is>
      </c>
      <c r="D724" s="21" t="inlineStr">
        <is>
          <t>CPT</t>
        </is>
      </c>
      <c r="E724" s="20" t="inlineStr">
        <is>
          <t>Entoure b) -3 vecteur i</t>
        </is>
      </c>
      <c r="F724" s="20" t="inlineStr">
        <is>
          <t>L'élève associe x - 3 à un déplacement de 3 vers la gauche : le sens de la translation liée à f(x - a) est compris à l'envers.</t>
        </is>
      </c>
    </row>
    <row r="725">
      <c r="A725" s="22" t="inlineStr">
        <is>
          <t>1ereD</t>
        </is>
      </c>
      <c r="B725" s="23" t="inlineStr">
        <is>
          <t>F3</t>
        </is>
      </c>
      <c r="C725" s="22" t="inlineStr">
        <is>
          <t>F.REF</t>
        </is>
      </c>
      <c r="D725" s="23" t="inlineStr">
        <is>
          <t>CNS</t>
        </is>
      </c>
      <c r="E725" s="22" t="inlineStr">
        <is>
          <t>Entoure c) 3 vecteur j</t>
        </is>
      </c>
      <c r="F725" s="22" t="inlineStr">
        <is>
          <t>La correspondance entre transformation de la variable et translation horizontale n'est pas disponible.</t>
        </is>
      </c>
    </row>
    <row r="726">
      <c r="A726" s="20" t="inlineStr">
        <is>
          <t>1ereD</t>
        </is>
      </c>
      <c r="B726" s="21" t="inlineStr">
        <is>
          <t>F3</t>
        </is>
      </c>
      <c r="C726" s="20" t="inlineStr">
        <is>
          <t>F.REF</t>
        </is>
      </c>
      <c r="D726" s="21" t="inlineStr">
        <is>
          <t>CPT</t>
        </is>
      </c>
      <c r="E726" s="20" t="inlineStr">
        <is>
          <t>Entoure d) -3 vecteur j</t>
        </is>
      </c>
      <c r="F726" s="20" t="inlineStr">
        <is>
          <t>f(x - 3) et f(x) - 3 sont confondus : la transformation de la variable est vue comme une transformation de l'image.</t>
        </is>
      </c>
    </row>
    <row r="727">
      <c r="A727" s="22" t="inlineStr">
        <is>
          <t>1ereD</t>
        </is>
      </c>
      <c r="B727" s="23" t="inlineStr">
        <is>
          <t>F4</t>
        </is>
      </c>
      <c r="C727" s="22" t="inlineStr">
        <is>
          <t>F.CIRC</t>
        </is>
      </c>
      <c r="D727" s="23" t="inlineStr">
        <is>
          <t>PRC</t>
        </is>
      </c>
      <c r="E727" s="22" t="inlineStr">
        <is>
          <t>Ecrit 1 260°</t>
        </is>
      </c>
      <c r="F727" s="22" t="inlineStr">
        <is>
          <t>La correspondance π rad = 180° est bien utilisée mais la division par 6 est oubliée : 7 × 180 = 1 260.</t>
        </is>
      </c>
    </row>
    <row r="728">
      <c r="A728" s="20" t="inlineStr">
        <is>
          <t>1ereD</t>
        </is>
      </c>
      <c r="B728" s="21" t="inlineStr">
        <is>
          <t>F4</t>
        </is>
      </c>
      <c r="C728" s="20" t="inlineStr">
        <is>
          <t>F.CIRC</t>
        </is>
      </c>
      <c r="D728" s="21" t="inlineStr">
        <is>
          <t>CPT</t>
        </is>
      </c>
      <c r="E728" s="20" t="inlineStr">
        <is>
          <t>Ecrit 420°</t>
        </is>
      </c>
      <c r="F728" s="20" t="inlineStr">
        <is>
          <t>Un demi-tour et un tour complet sont confondus (π rad pris pour 360°) : 7 × 360/6 = 420.</t>
        </is>
      </c>
    </row>
    <row r="729">
      <c r="A729" s="22" t="inlineStr">
        <is>
          <t>1ereD</t>
        </is>
      </c>
      <c r="B729" s="23" t="inlineStr">
        <is>
          <t>F4</t>
        </is>
      </c>
      <c r="C729" s="22" t="inlineStr">
        <is>
          <t>F.CIRC</t>
        </is>
      </c>
      <c r="D729" s="23" t="inlineStr">
        <is>
          <t>CNS</t>
        </is>
      </c>
      <c r="E729" s="22" t="inlineStr">
        <is>
          <t>Ecrit environ 3,66</t>
        </is>
      </c>
      <c r="F729" s="22" t="inlineStr">
        <is>
          <t>π est remplacé par 3,14 et le quotient 7 × 3,14/6 est donné : la règle de conversion radians vers degrés n'est pas disponible.</t>
        </is>
      </c>
    </row>
    <row r="730">
      <c r="A730" s="20" t="inlineStr">
        <is>
          <t>1ereD</t>
        </is>
      </c>
      <c r="B730" s="21" t="inlineStr">
        <is>
          <t>F5</t>
        </is>
      </c>
      <c r="C730" s="20" t="inlineStr">
        <is>
          <t>F.REF</t>
        </is>
      </c>
      <c r="D730" s="21" t="inlineStr">
        <is>
          <t>CPT</t>
        </is>
      </c>
      <c r="E730" s="20" t="inlineStr">
        <is>
          <t>Ecrit (1 ; -4)</t>
        </is>
      </c>
      <c r="F730" s="20" t="inlineStr">
        <is>
          <t>Le signe de l'abscisse est lu tel qu'écrit dans (x + 1) : la forme a(x - α)² + β n'est pas comprise.</t>
        </is>
      </c>
    </row>
    <row r="731">
      <c r="A731" s="22" t="inlineStr">
        <is>
          <t>1ereD</t>
        </is>
      </c>
      <c r="B731" s="23" t="inlineStr">
        <is>
          <t>F5</t>
        </is>
      </c>
      <c r="C731" s="22" t="inlineStr">
        <is>
          <t>F.REF</t>
        </is>
      </c>
      <c r="D731" s="23" t="inlineStr">
        <is>
          <t>CNS</t>
        </is>
      </c>
      <c r="E731" s="22" t="inlineStr">
        <is>
          <t>Ecrit (0 ; -3)</t>
        </is>
      </c>
      <c r="F731" s="22" t="inlineStr">
        <is>
          <t>L'élève développe en x² + 2x - 3 et prend le point d'abscisse 0 : la lecture du sommet sur la forme canonique n'est pas disponible.</t>
        </is>
      </c>
    </row>
    <row r="732">
      <c r="A732" s="20" t="inlineStr">
        <is>
          <t>1ereD</t>
        </is>
      </c>
      <c r="B732" s="21" t="inlineStr">
        <is>
          <t>F5</t>
        </is>
      </c>
      <c r="C732" s="20" t="inlineStr">
        <is>
          <t>F.REF</t>
        </is>
      </c>
      <c r="D732" s="21" t="inlineStr">
        <is>
          <t>ATT</t>
        </is>
      </c>
      <c r="E732" s="20" t="inlineStr">
        <is>
          <t>Ecrit (-1 ; 4)</t>
        </is>
      </c>
      <c r="F732" s="20" t="inlineStr">
        <is>
          <t>L'abscisse est juste et seul le signe de l'ordonnée est perdu : erreur ponctuelle de recopie.</t>
        </is>
      </c>
    </row>
    <row r="733">
      <c r="A733" s="22" t="inlineStr">
        <is>
          <t>1ereD</t>
        </is>
      </c>
      <c r="B733" s="23" t="inlineStr">
        <is>
          <t>F6</t>
        </is>
      </c>
      <c r="C733" s="22" t="inlineStr">
        <is>
          <t>F.PAR</t>
        </is>
      </c>
      <c r="D733" s="23" t="inlineStr">
        <is>
          <t>CPT</t>
        </is>
      </c>
      <c r="E733" s="22" t="inlineStr">
        <is>
          <t>Ecrit « paire »</t>
        </is>
      </c>
      <c r="F733" s="22" t="inlineStr">
        <is>
          <t>Les mots paire et impaire sont échangés : u(-x) = -u(x) est associé à paire.</t>
        </is>
      </c>
    </row>
    <row r="734">
      <c r="A734" s="20" t="inlineStr">
        <is>
          <t>1ereD</t>
        </is>
      </c>
      <c r="B734" s="21" t="inlineStr">
        <is>
          <t>F6</t>
        </is>
      </c>
      <c r="C734" s="20" t="inlineStr">
        <is>
          <t>F.PAR</t>
        </is>
      </c>
      <c r="D734" s="21" t="inlineStr">
        <is>
          <t>PRC</t>
        </is>
      </c>
      <c r="E734" s="20" t="inlineStr">
        <is>
          <t>Ecrit u(-x) = -x³ + 4x puis « ni paire ni impaire »</t>
        </is>
      </c>
      <c r="F734" s="20" t="inlineStr">
        <is>
          <t>Le calcul de u(-x) est juste mais seule la comparaison avec u(x) est faite : la comparaison avec -u(x) est omise.</t>
        </is>
      </c>
    </row>
    <row r="735">
      <c r="A735" s="22" t="inlineStr">
        <is>
          <t>1ereD</t>
        </is>
      </c>
      <c r="B735" s="23" t="inlineStr">
        <is>
          <t>F6</t>
        </is>
      </c>
      <c r="C735" s="22" t="inlineStr">
        <is>
          <t>F.PAR</t>
        </is>
      </c>
      <c r="D735" s="23" t="inlineStr">
        <is>
          <t>PRQ</t>
        </is>
      </c>
      <c r="E735" s="22" t="inlineStr">
        <is>
          <t>Ecrit u(-x) = x³ + 4x</t>
        </is>
      </c>
      <c r="F735" s="22" t="inlineStr">
        <is>
          <t>La puissance d'un nombre négatif (classe de 4ème) n'est pas sûre : (-x)³ est écrit x³.</t>
        </is>
      </c>
    </row>
    <row r="736">
      <c r="A736" s="20" t="inlineStr">
        <is>
          <t>1ereD</t>
        </is>
      </c>
      <c r="B736" s="21" t="inlineStr">
        <is>
          <t>G1</t>
        </is>
      </c>
      <c r="C736" s="20" t="inlineStr">
        <is>
          <t>G.COL</t>
        </is>
      </c>
      <c r="D736" s="21" t="inlineStr">
        <is>
          <t>PRC</t>
        </is>
      </c>
      <c r="E736" s="20" t="inlineStr">
        <is>
          <t>Ecrit m = 9</t>
        </is>
      </c>
      <c r="F736" s="20" t="inlineStr">
        <is>
          <t>Le critère -2m - 18 = 0 est bien posé mais -2m = 18 est résolu en m = 9 : erreur de signe.</t>
        </is>
      </c>
    </row>
    <row r="737">
      <c r="A737" s="22" t="inlineStr">
        <is>
          <t>1ereD</t>
        </is>
      </c>
      <c r="B737" s="23" t="inlineStr">
        <is>
          <t>G1</t>
        </is>
      </c>
      <c r="C737" s="22" t="inlineStr">
        <is>
          <t>G.COL</t>
        </is>
      </c>
      <c r="D737" s="23" t="inlineStr">
        <is>
          <t>CPT</t>
        </is>
      </c>
      <c r="E737" s="22" t="inlineStr">
        <is>
          <t>Ecrit m = 4</t>
        </is>
      </c>
      <c r="F737" s="22" t="inlineStr">
        <is>
          <t>L'élève écrit 3m + 6 × (-2) = 0 : la colinéarité est confondue avec l'orthogonalité.</t>
        </is>
      </c>
    </row>
    <row r="738">
      <c r="A738" s="20" t="inlineStr">
        <is>
          <t>1ereD</t>
        </is>
      </c>
      <c r="B738" s="21" t="inlineStr">
        <is>
          <t>G1</t>
        </is>
      </c>
      <c r="C738" s="20" t="inlineStr">
        <is>
          <t>G.COL</t>
        </is>
      </c>
      <c r="D738" s="21" t="inlineStr">
        <is>
          <t>CNS</t>
        </is>
      </c>
      <c r="E738" s="20" t="inlineStr">
        <is>
          <t>Ecrit m = -1</t>
        </is>
      </c>
      <c r="F738" s="20" t="inlineStr">
        <is>
          <t>Une proportion improvisée m/3 = -2/6 remplace le critère xy' - x'y = 0, qui n'est pas disponible.</t>
        </is>
      </c>
    </row>
    <row r="739">
      <c r="A739" s="22" t="inlineStr">
        <is>
          <t>1ereD</t>
        </is>
      </c>
      <c r="B739" s="23" t="inlineStr">
        <is>
          <t>G2</t>
        </is>
      </c>
      <c r="C739" s="22" t="inlineStr">
        <is>
          <t>G.PS</t>
        </is>
      </c>
      <c r="D739" s="23" t="inlineStr">
        <is>
          <t>PRC</t>
        </is>
      </c>
      <c r="E739" s="22" t="inlineStr">
        <is>
          <t>Entoure a) -5</t>
        </is>
      </c>
      <c r="F739" s="22" t="inlineStr">
        <is>
          <t>La formule est bien choisie mais le signe du second produit est perdu dans l'exécution.</t>
        </is>
      </c>
    </row>
    <row r="740">
      <c r="A740" s="20" t="inlineStr">
        <is>
          <t>1ereD</t>
        </is>
      </c>
      <c r="B740" s="21" t="inlineStr">
        <is>
          <t>G2</t>
        </is>
      </c>
      <c r="C740" s="20" t="inlineStr">
        <is>
          <t>G.PS</t>
        </is>
      </c>
      <c r="D740" s="21" t="inlineStr">
        <is>
          <t>ATT</t>
        </is>
      </c>
      <c r="E740" s="20" t="inlineStr">
        <is>
          <t>Entoure c) 5</t>
        </is>
      </c>
      <c r="F740" s="20" t="inlineStr">
        <is>
          <t>Une donnée est mal recopiée (4 au lieu de -4) : erreur ponctuelle de lecture.</t>
        </is>
      </c>
    </row>
    <row r="741">
      <c r="A741" s="22" t="inlineStr">
        <is>
          <t>1ereD</t>
        </is>
      </c>
      <c r="B741" s="23" t="inlineStr">
        <is>
          <t>G2</t>
        </is>
      </c>
      <c r="C741" s="22" t="inlineStr">
        <is>
          <t>G.PS</t>
        </is>
      </c>
      <c r="D741" s="23" t="inlineStr">
        <is>
          <t>PRQ</t>
        </is>
      </c>
      <c r="E741" s="22" t="inlineStr">
        <is>
          <t>Entoure d) 11</t>
        </is>
      </c>
      <c r="F741" s="22" t="inlineStr">
        <is>
          <t>La règle des signes du produit de deux relatifs (classe de 4ème) n'est pas maîtrisée : 2 × (-4) et (-3) × 1 sont pris positifs.</t>
        </is>
      </c>
    </row>
    <row r="742">
      <c r="A742" s="20" t="inlineStr">
        <is>
          <t>1ereD</t>
        </is>
      </c>
      <c r="B742" s="21" t="inlineStr">
        <is>
          <t>G3</t>
        </is>
      </c>
      <c r="C742" s="20" t="inlineStr">
        <is>
          <t>G.HOM</t>
        </is>
      </c>
      <c r="D742" s="21" t="inlineStr">
        <is>
          <t>CNS</t>
        </is>
      </c>
      <c r="E742" s="20" t="inlineStr">
        <is>
          <t>Ecrit A'(-5 ; -3)</t>
        </is>
      </c>
      <c r="F742" s="20" t="inlineStr">
        <is>
          <t>Les coordonnées de A sont seulement changées de signe : la caractérisation par le milieu I de [AA'] n'est pas mobilisée, le centre O est pris.</t>
        </is>
      </c>
    </row>
    <row r="743">
      <c r="A743" s="22" t="inlineStr">
        <is>
          <t>1ereD</t>
        </is>
      </c>
      <c r="B743" s="23" t="inlineStr">
        <is>
          <t>G3</t>
        </is>
      </c>
      <c r="C743" s="22" t="inlineStr">
        <is>
          <t>G.HOM</t>
        </is>
      </c>
      <c r="D743" s="23" t="inlineStr">
        <is>
          <t>CPT</t>
        </is>
      </c>
      <c r="E743" s="22" t="inlineStr">
        <is>
          <t>Ecrit A'(3,5 ; 1)</t>
        </is>
      </c>
      <c r="F743" s="22" t="inlineStr">
        <is>
          <t>L'élève calcule le milieu de [IA] : le point A' est confondu avec le milieu, alors que c'est I le milieu de [AA'].</t>
        </is>
      </c>
    </row>
    <row r="744">
      <c r="A744" s="20" t="inlineStr">
        <is>
          <t>1ereD</t>
        </is>
      </c>
      <c r="B744" s="21" t="inlineStr">
        <is>
          <t>G3</t>
        </is>
      </c>
      <c r="C744" s="20" t="inlineStr">
        <is>
          <t>G.HOM</t>
        </is>
      </c>
      <c r="D744" s="21" t="inlineStr">
        <is>
          <t>PRC</t>
        </is>
      </c>
      <c r="E744" s="20" t="inlineStr">
        <is>
          <t>Ecrit A'(-1 ; 1)</t>
        </is>
      </c>
      <c r="F744" s="20" t="inlineStr">
        <is>
          <t>x' = 2 × 2 - 5 est juste mais y' = 2 × (-1) - 3 est calculé -2 + 3 = 1 : erreur de signe.</t>
        </is>
      </c>
    </row>
    <row r="745">
      <c r="A745" s="22" t="inlineStr">
        <is>
          <t>1ereD</t>
        </is>
      </c>
      <c r="B745" s="23" t="inlineStr">
        <is>
          <t>G4</t>
        </is>
      </c>
      <c r="C745" s="22" t="inlineStr">
        <is>
          <t>G.PLAN</t>
        </is>
      </c>
      <c r="D745" s="23" t="inlineStr">
        <is>
          <t>PRC</t>
        </is>
      </c>
      <c r="E745" s="22" t="inlineStr">
        <is>
          <t>Ecrit AB = √68</t>
        </is>
      </c>
      <c r="F745" s="22" t="inlineStr">
        <is>
          <t>4 - (-2) est calculé 2 : √(2² + 8²) = √68, erreur de signe sur une différence de coordonnées.</t>
        </is>
      </c>
    </row>
    <row r="746">
      <c r="A746" s="20" t="inlineStr">
        <is>
          <t>1ereD</t>
        </is>
      </c>
      <c r="B746" s="21" t="inlineStr">
        <is>
          <t>G4</t>
        </is>
      </c>
      <c r="C746" s="20" t="inlineStr">
        <is>
          <t>G.PLAN</t>
        </is>
      </c>
      <c r="D746" s="21" t="inlineStr">
        <is>
          <t>CPT</t>
        </is>
      </c>
      <c r="E746" s="20" t="inlineStr">
        <is>
          <t>Ecrit AB = 14</t>
        </is>
      </c>
      <c r="F746" s="20" t="inlineStr">
        <is>
          <t>√(6² + 8²) est réduit en 6 + 8 : la racine d'une somme de carrés est prise pour la somme des nombres.</t>
        </is>
      </c>
    </row>
    <row r="747">
      <c r="A747" s="22" t="inlineStr">
        <is>
          <t>1ereD</t>
        </is>
      </c>
      <c r="B747" s="23" t="inlineStr">
        <is>
          <t>G4</t>
        </is>
      </c>
      <c r="C747" s="22" t="inlineStr">
        <is>
          <t>G.PLAN</t>
        </is>
      </c>
      <c r="D747" s="23" t="inlineStr">
        <is>
          <t>CNS</t>
        </is>
      </c>
      <c r="E747" s="22" t="inlineStr">
        <is>
          <t>Ecrit AB = 100</t>
        </is>
      </c>
      <c r="F747" s="22" t="inlineStr">
        <is>
          <t>La formule est retenue sans la racine carrée : AB = (xB - xA)² + (yB - yA)² est énoncée fausse mais assumée.</t>
        </is>
      </c>
    </row>
    <row r="748">
      <c r="A748" s="20" t="inlineStr">
        <is>
          <t>1ereD</t>
        </is>
      </c>
      <c r="B748" s="21" t="inlineStr">
        <is>
          <t>G5</t>
        </is>
      </c>
      <c r="C748" s="20" t="inlineStr">
        <is>
          <t>G.ESP</t>
        </is>
      </c>
      <c r="D748" s="21" t="inlineStr">
        <is>
          <t>CNS</t>
        </is>
      </c>
      <c r="E748" s="20" t="inlineStr">
        <is>
          <t>Entoure a) sécantes</t>
        </is>
      </c>
      <c r="F748" s="20" t="inlineStr">
        <is>
          <t>La transitivité du parallélisme dans l'espace n'est pas mobilisée : la réponse est lue sur la figure en perspective.</t>
        </is>
      </c>
    </row>
    <row r="749">
      <c r="A749" s="22" t="inlineStr">
        <is>
          <t>1ereD</t>
        </is>
      </c>
      <c r="B749" s="23" t="inlineStr">
        <is>
          <t>G5</t>
        </is>
      </c>
      <c r="C749" s="22" t="inlineStr">
        <is>
          <t>G.ESP</t>
        </is>
      </c>
      <c r="D749" s="23" t="inlineStr">
        <is>
          <t>CPT</t>
        </is>
      </c>
      <c r="E749" s="22" t="inlineStr">
        <is>
          <t>Entoure b) non coplanaires</t>
        </is>
      </c>
      <c r="F749" s="22" t="inlineStr">
        <is>
          <t>Deux droites non sécantes de l'espace sont crues toujours non coplanaires : le cas des droites parallèles est oublié.</t>
        </is>
      </c>
    </row>
    <row r="750">
      <c r="A750" s="20" t="inlineStr">
        <is>
          <t>1ereD</t>
        </is>
      </c>
      <c r="B750" s="21" t="inlineStr">
        <is>
          <t>G5</t>
        </is>
      </c>
      <c r="C750" s="20" t="inlineStr">
        <is>
          <t>G.ESP</t>
        </is>
      </c>
      <c r="D750" s="21" t="inlineStr">
        <is>
          <t>ATT</t>
        </is>
      </c>
      <c r="E750" s="20" t="inlineStr">
        <is>
          <t>Entoure d) orthogonales</t>
        </is>
      </c>
      <c r="F750" s="20" t="inlineStr">
        <is>
          <t>Option sans erreur plausible propre : confusion ponctuelle d'arête, à confirmer par G7 et P4.</t>
        </is>
      </c>
    </row>
    <row r="751">
      <c r="A751" s="22" t="inlineStr">
        <is>
          <t>1ereD</t>
        </is>
      </c>
      <c r="B751" s="23" t="inlineStr">
        <is>
          <t>G6</t>
        </is>
      </c>
      <c r="C751" s="22" t="inlineStr">
        <is>
          <t>G.HOM</t>
        </is>
      </c>
      <c r="D751" s="23" t="inlineStr">
        <is>
          <t>CPT</t>
        </is>
      </c>
      <c r="E751" s="22" t="inlineStr">
        <is>
          <t>Ecrit M'(7 ; -1)</t>
        </is>
      </c>
      <c r="F751" s="22" t="inlineStr">
        <is>
          <t>Le rapport est pris égal à 2 : IM' = 2 IM, le sens donné par un rapport négatif n'est pas compris.</t>
        </is>
      </c>
    </row>
    <row r="752">
      <c r="A752" s="20" t="inlineStr">
        <is>
          <t>1ereD</t>
        </is>
      </c>
      <c r="B752" s="21" t="inlineStr">
        <is>
          <t>G6</t>
        </is>
      </c>
      <c r="C752" s="20" t="inlineStr">
        <is>
          <t>G.HOM</t>
        </is>
      </c>
      <c r="D752" s="21" t="inlineStr">
        <is>
          <t>CNS</t>
        </is>
      </c>
      <c r="E752" s="20" t="inlineStr">
        <is>
          <t>Ecrit M'(-8 ; -2)</t>
        </is>
      </c>
      <c r="F752" s="20" t="inlineStr">
        <is>
          <t>Les coordonnées de M sont multipliées par -2 : la relation vectorielle IM' = k IM n'est pas mobilisée, le centre est oublié.</t>
        </is>
      </c>
    </row>
    <row r="753">
      <c r="A753" s="22" t="inlineStr">
        <is>
          <t>1ereD</t>
        </is>
      </c>
      <c r="B753" s="23" t="inlineStr">
        <is>
          <t>G6</t>
        </is>
      </c>
      <c r="C753" s="22" t="inlineStr">
        <is>
          <t>G.HOM</t>
        </is>
      </c>
      <c r="D753" s="23" t="inlineStr">
        <is>
          <t>PRC</t>
        </is>
      </c>
      <c r="E753" s="22" t="inlineStr">
        <is>
          <t>Ecrit M'(-6 ; 4)</t>
        </is>
      </c>
      <c r="F753" s="22" t="inlineStr">
        <is>
          <t>Le vecteur IM' = (-6 ; 4) est juste mais il est donné comme point : l'ajout des coordonnées de I est omis.</t>
        </is>
      </c>
    </row>
    <row r="754">
      <c r="A754" s="20" t="inlineStr">
        <is>
          <t>1ereD</t>
        </is>
      </c>
      <c r="B754" s="21" t="inlineStr">
        <is>
          <t>G7</t>
        </is>
      </c>
      <c r="C754" s="20" t="inlineStr">
        <is>
          <t>G.ESP</t>
        </is>
      </c>
      <c r="D754" s="21" t="inlineStr">
        <is>
          <t>CPT</t>
        </is>
      </c>
      <c r="E754" s="20" t="inlineStr">
        <is>
          <t>Ecrit « parallèles »</t>
        </is>
      </c>
      <c r="F754" s="20" t="inlineStr">
        <is>
          <t>L'arête verticale n'est pas située par rapport à la face supérieure : l'élève pense qu'une arête et une face distinctes sont parallèles.</t>
        </is>
      </c>
    </row>
    <row r="755">
      <c r="A755" s="22" t="inlineStr">
        <is>
          <t>1ereD</t>
        </is>
      </c>
      <c r="B755" s="23" t="inlineStr">
        <is>
          <t>G7</t>
        </is>
      </c>
      <c r="C755" s="22" t="inlineStr">
        <is>
          <t>G.ESP</t>
        </is>
      </c>
      <c r="D755" s="23" t="inlineStr">
        <is>
          <t>CNS</t>
        </is>
      </c>
      <c r="E755" s="22" t="inlineStr">
        <is>
          <t>Ecrit « (AE) est incluse dans le plan (EFG) »</t>
        </is>
      </c>
      <c r="F755" s="22" t="inlineStr">
        <is>
          <t>Un seul point commun E suffit pour l'élève : la condition d'inclusion (deux points communs) n'est pas disponible.</t>
        </is>
      </c>
    </row>
    <row r="756">
      <c r="A756" s="20" t="inlineStr">
        <is>
          <t>1ereD</t>
        </is>
      </c>
      <c r="B756" s="21" t="inlineStr">
        <is>
          <t>G7</t>
        </is>
      </c>
      <c r="C756" s="20" t="inlineStr">
        <is>
          <t>G.ESP</t>
        </is>
      </c>
      <c r="D756" s="21" t="inlineStr">
        <is>
          <t>ATT</t>
        </is>
      </c>
      <c r="E756" s="20" t="inlineStr">
        <is>
          <t>Ecrit « sécants en A »</t>
        </is>
      </c>
      <c r="F756" s="20" t="inlineStr">
        <is>
          <t>La position est juste mais le point d'intersection est mal nommé : erreur ponctuelle de lettre.</t>
        </is>
      </c>
    </row>
    <row r="757">
      <c r="A757" s="22" t="inlineStr">
        <is>
          <t>1ereD</t>
        </is>
      </c>
      <c r="B757" s="23" t="inlineStr">
        <is>
          <t>D1</t>
        </is>
      </c>
      <c r="C757" s="22" t="inlineStr">
        <is>
          <t>D.STAT2</t>
        </is>
      </c>
      <c r="D757" s="23" t="inlineStr">
        <is>
          <t>CNS</t>
        </is>
      </c>
      <c r="E757" s="22" t="inlineStr">
        <is>
          <t>Entoure b) 49</t>
        </is>
      </c>
      <c r="F757" s="22" t="inlineStr">
        <is>
          <t>La demi-somme des deux valeurs centrales d'une série d'effectif pair n'est pas mobilisée.</t>
        </is>
      </c>
    </row>
    <row r="758">
      <c r="A758" s="20" t="inlineStr">
        <is>
          <t>1ereD</t>
        </is>
      </c>
      <c r="B758" s="21" t="inlineStr">
        <is>
          <t>D1</t>
        </is>
      </c>
      <c r="C758" s="20" t="inlineStr">
        <is>
          <t>D.STAT2</t>
        </is>
      </c>
      <c r="D758" s="21" t="inlineStr">
        <is>
          <t>PRC</t>
        </is>
      </c>
      <c r="E758" s="20" t="inlineStr">
        <is>
          <t>Entoure c) 50</t>
        </is>
      </c>
      <c r="F758" s="20" t="inlineStr">
        <is>
          <t>La définition est connue mais l'étape de rangement de la série est sautée.</t>
        </is>
      </c>
    </row>
    <row r="759">
      <c r="A759" s="22" t="inlineStr">
        <is>
          <t>1ereD</t>
        </is>
      </c>
      <c r="B759" s="23" t="inlineStr">
        <is>
          <t>D1</t>
        </is>
      </c>
      <c r="C759" s="22" t="inlineStr">
        <is>
          <t>D.STAT2</t>
        </is>
      </c>
      <c r="D759" s="23" t="inlineStr">
        <is>
          <t>CPT</t>
        </is>
      </c>
      <c r="E759" s="22" t="inlineStr">
        <is>
          <t>Entoure d) 52</t>
        </is>
      </c>
      <c r="F759" s="22" t="inlineStr">
        <is>
          <t>Médiane et mode sont confondus : la valeur la plus fréquente est donnée.</t>
        </is>
      </c>
    </row>
    <row r="760">
      <c r="A760" s="20" t="inlineStr">
        <is>
          <t>1ereD</t>
        </is>
      </c>
      <c r="B760" s="21" t="inlineStr">
        <is>
          <t>N3</t>
        </is>
      </c>
      <c r="C760" s="20" t="inlineStr">
        <is>
          <t>N.VAB</t>
        </is>
      </c>
      <c r="D760" s="21" t="inlineStr">
        <is>
          <t>CPT</t>
        </is>
      </c>
      <c r="E760" s="20" t="inlineStr">
        <is>
          <t>Ecrit B = (x - 2) + (x - 5) = 2x - 7</t>
        </is>
      </c>
      <c r="F760" s="20" t="inlineStr">
        <is>
          <t>Les barres sont retirées sans étudier le signe : l'élève croit que |a| = a quel que soit a.</t>
        </is>
      </c>
    </row>
    <row r="761">
      <c r="A761" s="22" t="inlineStr">
        <is>
          <t>1ereD</t>
        </is>
      </c>
      <c r="B761" s="23" t="inlineStr">
        <is>
          <t>N3</t>
        </is>
      </c>
      <c r="C761" s="22" t="inlineStr">
        <is>
          <t>N.VAB</t>
        </is>
      </c>
      <c r="D761" s="23" t="inlineStr">
        <is>
          <t>PRC</t>
        </is>
      </c>
      <c r="E761" s="22" t="inlineStr">
        <is>
          <t>Ecrit |x - 5| = -x - 5 puis B = -7</t>
        </is>
      </c>
      <c r="F761" s="22" t="inlineStr">
        <is>
          <t>Le signe de x - 5 est bien établi mais l'opposé est mal pris : -(x - 5) écrit -x - 5, d'où (x - 2) + (-x - 5) = -7.</t>
        </is>
      </c>
    </row>
    <row r="762">
      <c r="A762" s="20" t="inlineStr">
        <is>
          <t>1ereD</t>
        </is>
      </c>
      <c r="B762" s="21" t="inlineStr">
        <is>
          <t>N3</t>
        </is>
      </c>
      <c r="C762" s="20" t="inlineStr">
        <is>
          <t>N.VAB</t>
        </is>
      </c>
      <c r="D762" s="21" t="inlineStr">
        <is>
          <t>RED</t>
        </is>
      </c>
      <c r="E762" s="20" t="inlineStr">
        <is>
          <t>Ecrit B = 3 après avoir remplacé x par 3 (1 + 2 = 3)</t>
        </is>
      </c>
      <c r="F762" s="20" t="inlineStr">
        <is>
          <t>Le résultat est juste mais un seul exemple ne prouve rien pour tous les x de ]2 ; 5[ : la démarche générale manque.</t>
        </is>
      </c>
    </row>
    <row r="763">
      <c r="A763" s="22" t="inlineStr">
        <is>
          <t>1ereD</t>
        </is>
      </c>
      <c r="B763" s="23" t="inlineStr">
        <is>
          <t>N4</t>
        </is>
      </c>
      <c r="C763" s="22" t="inlineStr">
        <is>
          <t>N.INT</t>
        </is>
      </c>
      <c r="D763" s="23" t="inlineStr">
        <is>
          <t>CPT</t>
        </is>
      </c>
      <c r="E763" s="22" t="inlineStr">
        <is>
          <t>Ecrit -4 &lt; 2x - y &lt; 2</t>
        </is>
      </c>
      <c r="F763" s="22" t="inlineStr">
        <is>
          <t>Les encadrements de 2x et de y sont soustraits borne à borne : -2 - 2 et 6 - 4, sans renverser les bornes de -y.</t>
        </is>
      </c>
    </row>
    <row r="764">
      <c r="A764" s="20" t="inlineStr">
        <is>
          <t>1ereD</t>
        </is>
      </c>
      <c r="B764" s="21" t="inlineStr">
        <is>
          <t>N4</t>
        </is>
      </c>
      <c r="C764" s="20" t="inlineStr">
        <is>
          <t>N.INT</t>
        </is>
      </c>
      <c r="D764" s="21" t="inlineStr">
        <is>
          <t>PRC</t>
        </is>
      </c>
      <c r="E764" s="20" t="inlineStr">
        <is>
          <t>Ecrit -5 &lt; 2x - y &lt; 1</t>
        </is>
      </c>
      <c r="F764" s="20" t="inlineStr">
        <is>
          <t>L'encadrement de -y est juste mais le facteur 2 devant x est oublié : -1 - 4 = -5 et 3 - 2 = 1.</t>
        </is>
      </c>
    </row>
    <row r="765">
      <c r="A765" s="22" t="inlineStr">
        <is>
          <t>1ereD</t>
        </is>
      </c>
      <c r="B765" s="23" t="inlineStr">
        <is>
          <t>N4</t>
        </is>
      </c>
      <c r="C765" s="22" t="inlineStr">
        <is>
          <t>N.MAJ</t>
        </is>
      </c>
      <c r="D765" s="23" t="inlineStr">
        <is>
          <t>CPT</t>
        </is>
      </c>
      <c r="E765" s="22" t="inlineStr">
        <is>
          <t>Répond « non, car 2x - y ne prend jamais la valeur -6 »</t>
        </is>
      </c>
      <c r="F765" s="22" t="inlineStr">
        <is>
          <t>Le minorant est confondu avec un minimum atteint : l'élève exige que la borne soit une valeur prise.</t>
        </is>
      </c>
    </row>
    <row r="766">
      <c r="A766" s="20" t="inlineStr">
        <is>
          <t>1ereD</t>
        </is>
      </c>
      <c r="B766" s="21" t="inlineStr">
        <is>
          <t>N4</t>
        </is>
      </c>
      <c r="C766" s="20" t="inlineStr">
        <is>
          <t>N.MAJ</t>
        </is>
      </c>
      <c r="D766" s="21" t="inlineStr">
        <is>
          <t>RED</t>
        </is>
      </c>
      <c r="E766" s="20" t="inlineStr">
        <is>
          <t>Répond « oui » sans citer l'inégalité 2x - y &gt; -6</t>
        </is>
      </c>
      <c r="F766" s="20" t="inlineStr">
        <is>
          <t>La réponse est juste mais aucune justification n'est donnée, alors que le barème l'exige.</t>
        </is>
      </c>
    </row>
    <row r="767">
      <c r="A767" s="22" t="inlineStr">
        <is>
          <t>1ereD</t>
        </is>
      </c>
      <c r="B767" s="23" t="inlineStr">
        <is>
          <t>L5</t>
        </is>
      </c>
      <c r="C767" s="22" t="inlineStr">
        <is>
          <t>L.EQ2</t>
        </is>
      </c>
      <c r="D767" s="23" t="inlineStr">
        <is>
          <t>PRC</t>
        </is>
      </c>
      <c r="E767" s="22" t="inlineStr">
        <is>
          <t>Ecrit b = 7</t>
        </is>
      </c>
      <c r="F767" s="22" t="inlineStr">
        <is>
          <t>9 + 3b + 12 = 0 est bien posé mais 3b = -21 est résolu en b = 7 : erreur de signe.</t>
        </is>
      </c>
    </row>
    <row r="768">
      <c r="A768" s="20" t="inlineStr">
        <is>
          <t>1ereD</t>
        </is>
      </c>
      <c r="B768" s="21" t="inlineStr">
        <is>
          <t>L5</t>
        </is>
      </c>
      <c r="C768" s="20" t="inlineStr">
        <is>
          <t>L.EQ2</t>
        </is>
      </c>
      <c r="D768" s="21" t="inlineStr">
        <is>
          <t>CPT</t>
        </is>
      </c>
      <c r="E768" s="20" t="inlineStr">
        <is>
          <t>Ecrit l'autre solution -4</t>
        </is>
      </c>
      <c r="F768" s="20" t="inlineStr">
        <is>
          <t>Le produit des racines est pris égal à -c/a = -12 : les relations S = -b/a et P = c/a sont mélangées.</t>
        </is>
      </c>
    </row>
    <row r="769">
      <c r="A769" s="22" t="inlineStr">
        <is>
          <t>1ereD</t>
        </is>
      </c>
      <c r="B769" s="23" t="inlineStr">
        <is>
          <t>L5</t>
        </is>
      </c>
      <c r="C769" s="22" t="inlineStr">
        <is>
          <t>L.EQ2</t>
        </is>
      </c>
      <c r="D769" s="23" t="inlineStr">
        <is>
          <t>CNS</t>
        </is>
      </c>
      <c r="E769" s="22" t="inlineStr">
        <is>
          <t>Ecrit b = -7 et s'arrête</t>
        </is>
      </c>
      <c r="F769" s="22" t="inlineStr">
        <is>
          <t>Ni le produit des racines ni la résolution de x² - 7x + 12 = 0 ne sont mobilisés pour trouver la seconde solution.</t>
        </is>
      </c>
    </row>
    <row r="770">
      <c r="A770" s="20" t="inlineStr">
        <is>
          <t>1ereD</t>
        </is>
      </c>
      <c r="B770" s="21" t="inlineStr">
        <is>
          <t>L5</t>
        </is>
      </c>
      <c r="C770" s="20" t="inlineStr">
        <is>
          <t>L.EQ2</t>
        </is>
      </c>
      <c r="D770" s="21" t="inlineStr">
        <is>
          <t>RED</t>
        </is>
      </c>
      <c r="E770" s="20" t="inlineStr">
        <is>
          <t>Ecrit « l'autre solution est 4 » sans calcul</t>
        </is>
      </c>
      <c r="F770" s="20" t="inlineStr">
        <is>
          <t>Le résultat est juste mais ni la relation sur les racines ni la résolution ne sont écrites.</t>
        </is>
      </c>
    </row>
    <row r="771">
      <c r="A771" s="22" t="inlineStr">
        <is>
          <t>1ereD</t>
        </is>
      </c>
      <c r="B771" s="23" t="inlineStr">
        <is>
          <t>L6</t>
        </is>
      </c>
      <c r="C771" s="22" t="inlineStr">
        <is>
          <t>L.TRI</t>
        </is>
      </c>
      <c r="D771" s="23" t="inlineStr">
        <is>
          <t>CPT</t>
        </is>
      </c>
      <c r="E771" s="22" t="inlineStr">
        <is>
          <t>Ecrit Q(x) = (x + 2)(x - 3) puis « affirmation fausse »</t>
        </is>
      </c>
      <c r="F771" s="22" t="inlineStr">
        <is>
          <t>Le coefficient -2 disparaît de la forme factorisée, ce qui inverse le signe : l'élève ne voit pas le rôle du coefficient dominant.</t>
        </is>
      </c>
    </row>
    <row r="772">
      <c r="A772" s="20" t="inlineStr">
        <is>
          <t>1ereD</t>
        </is>
      </c>
      <c r="B772" s="21" t="inlineStr">
        <is>
          <t>L6</t>
        </is>
      </c>
      <c r="C772" s="20" t="inlineStr">
        <is>
          <t>L.EQ2</t>
        </is>
      </c>
      <c r="D772" s="21" t="inlineStr">
        <is>
          <t>PRC</t>
        </is>
      </c>
      <c r="E772" s="20" t="inlineStr">
        <is>
          <t>Ecrit Δ = 4 - 96 = -92 et « pas de racine »</t>
        </is>
      </c>
      <c r="F772" s="20" t="inlineStr">
        <is>
          <t>-4 × (-2) × 12 est pris égal à -96 : erreur de signe dans le calcul du discriminant, qui vaut 100.</t>
        </is>
      </c>
    </row>
    <row r="773">
      <c r="A773" s="22" t="inlineStr">
        <is>
          <t>1ereD</t>
        </is>
      </c>
      <c r="B773" s="23" t="inlineStr">
        <is>
          <t>L6</t>
        </is>
      </c>
      <c r="C773" s="22" t="inlineStr">
        <is>
          <t>L.TRI</t>
        </is>
      </c>
      <c r="D773" s="23" t="inlineStr">
        <is>
          <t>PRC</t>
        </is>
      </c>
      <c r="E773" s="22" t="inlineStr">
        <is>
          <t>Ecrit Q(x) = -2(x - 2)(x + 3)</t>
        </is>
      </c>
      <c r="F773" s="22" t="inlineStr">
        <is>
          <t>Les racines -2 et 3 sont trouvées mais placées avec le mauvais signe dans les facteurs.</t>
        </is>
      </c>
    </row>
    <row r="774">
      <c r="A774" s="20" t="inlineStr">
        <is>
          <t>1ereD</t>
        </is>
      </c>
      <c r="B774" s="21" t="inlineStr">
        <is>
          <t>L6</t>
        </is>
      </c>
      <c r="C774" s="20" t="inlineStr">
        <is>
          <t>L.TRI</t>
        </is>
      </c>
      <c r="D774" s="21" t="inlineStr">
        <is>
          <t>RED</t>
        </is>
      </c>
      <c r="E774" s="20" t="inlineStr">
        <is>
          <t>Répond « vraie » sans étudier le signe de x + 2 et de x - 3</t>
        </is>
      </c>
      <c r="F774" s="20" t="inlineStr">
        <is>
          <t>La conclusion est juste mais n'est appuyée sur aucune étude de signe sur l'intervalle.</t>
        </is>
      </c>
    </row>
    <row r="775">
      <c r="A775" s="22" t="inlineStr">
        <is>
          <t>1ereD</t>
        </is>
      </c>
      <c r="B775" s="23" t="inlineStr">
        <is>
          <t>L7</t>
        </is>
      </c>
      <c r="C775" s="22" t="inlineStr">
        <is>
          <t>L.INEQ2</t>
        </is>
      </c>
      <c r="D775" s="23" t="inlineStr">
        <is>
          <t>CPT</t>
        </is>
      </c>
      <c r="E775" s="22" t="inlineStr">
        <is>
          <t>Ecrit x + 1 ≤ x - 2 donc 1 ≤ -2, S = ∅</t>
        </is>
      </c>
      <c r="F775" s="22" t="inlineStr">
        <is>
          <t>L'élève multiplie par x - 2 sans discuter son signe : une inéquation quotient est traitée comme une équation.</t>
        </is>
      </c>
    </row>
    <row r="776">
      <c r="A776" s="20" t="inlineStr">
        <is>
          <t>1ereD</t>
        </is>
      </c>
      <c r="B776" s="21" t="inlineStr">
        <is>
          <t>L7</t>
        </is>
      </c>
      <c r="C776" s="20" t="inlineStr">
        <is>
          <t>L.INEQ2</t>
        </is>
      </c>
      <c r="D776" s="21" t="inlineStr">
        <is>
          <t>PRC</t>
        </is>
      </c>
      <c r="E776" s="20" t="inlineStr">
        <is>
          <t>Ecrit S = ]2 ; +∞[</t>
        </is>
      </c>
      <c r="F776" s="20" t="inlineStr">
        <is>
          <t>3/(x - 2) ≤ 0 est bien obtenu mais le signe est mal lu : x - 2 &gt; 0 au lieu de x - 2 &lt; 0.</t>
        </is>
      </c>
    </row>
    <row r="777">
      <c r="A777" s="22" t="inlineStr">
        <is>
          <t>1ereD</t>
        </is>
      </c>
      <c r="B777" s="23" t="inlineStr">
        <is>
          <t>L7</t>
        </is>
      </c>
      <c r="C777" s="22" t="inlineStr">
        <is>
          <t>F.DEF</t>
        </is>
      </c>
      <c r="D777" s="23" t="inlineStr">
        <is>
          <t>CNS</t>
        </is>
      </c>
      <c r="E777" s="22" t="inlineStr">
        <is>
          <t>Ecrit S = ]-∞ ; 2] et « Nafissatou a raison »</t>
        </is>
      </c>
      <c r="F777" s="22" t="inlineStr">
        <is>
          <t>La valeur interdite 2 n'est pas mobilisée : l'élève ne vérifie pas que le quotient est défini.</t>
        </is>
      </c>
    </row>
    <row r="778">
      <c r="A778" s="20" t="inlineStr">
        <is>
          <t>1ereD</t>
        </is>
      </c>
      <c r="B778" s="21" t="inlineStr">
        <is>
          <t>L7</t>
        </is>
      </c>
      <c r="C778" s="20" t="inlineStr">
        <is>
          <t>L.INEQ2</t>
        </is>
      </c>
      <c r="D778" s="21" t="inlineStr">
        <is>
          <t>RED</t>
        </is>
      </c>
      <c r="E778" s="20" t="inlineStr">
        <is>
          <t>Ecrit « Nafissatou a tort » sans évoquer la non-définition en 2</t>
        </is>
      </c>
      <c r="F778" s="20" t="inlineStr">
        <is>
          <t>Le jugement est juste mais n'est pas justifié : la raison (dénominateur nul) n'est pas écrite.</t>
        </is>
      </c>
    </row>
    <row r="779">
      <c r="A779" s="22" t="inlineStr">
        <is>
          <t>1ereD</t>
        </is>
      </c>
      <c r="B779" s="23" t="inlineStr">
        <is>
          <t>L8</t>
        </is>
      </c>
      <c r="C779" s="22" t="inlineStr">
        <is>
          <t>L.SYSL</t>
        </is>
      </c>
      <c r="D779" s="23" t="inlineStr">
        <is>
          <t>MOD</t>
        </is>
      </c>
      <c r="E779" s="22" t="inlineStr">
        <is>
          <t>Ecrit 3m + 5n = 34 000 et 2m + 4n = 60 000</t>
        </is>
      </c>
      <c r="F779" s="22" t="inlineStr">
        <is>
          <t>Les coefficients sont lus en colonne au lieu de suivre chaque achat : l'énoncé n'est pas traduit correctement.</t>
        </is>
      </c>
    </row>
    <row r="780">
      <c r="A780" s="20" t="inlineStr">
        <is>
          <t>1ereD</t>
        </is>
      </c>
      <c r="B780" s="21" t="inlineStr">
        <is>
          <t>L8</t>
        </is>
      </c>
      <c r="C780" s="20" t="inlineStr">
        <is>
          <t>L.SYSL</t>
        </is>
      </c>
      <c r="D780" s="21" t="inlineStr">
        <is>
          <t>CPT</t>
        </is>
      </c>
      <c r="E780" s="20" t="inlineStr">
        <is>
          <t>Ecrit 2m = 26 000 en retranchant la première équation de la seconde, puis m = 13 000 FCFA</t>
        </is>
      </c>
      <c r="F780" s="20" t="inlineStr">
        <is>
          <t>Les deux équations sont retranchées sans égaliser les coefficients de n, et 4n - 2n est cru nul : l'élève croit qu'une soustraction élimine toujours une inconnue.</t>
        </is>
      </c>
    </row>
    <row r="781">
      <c r="A781" s="22" t="inlineStr">
        <is>
          <t>1ereD</t>
        </is>
      </c>
      <c r="B781" s="23" t="inlineStr">
        <is>
          <t>L8</t>
        </is>
      </c>
      <c r="C781" s="22" t="inlineStr">
        <is>
          <t>L.SYSL</t>
        </is>
      </c>
      <c r="D781" s="23" t="inlineStr">
        <is>
          <t>PRC</t>
        </is>
      </c>
      <c r="E781" s="22" t="inlineStr">
        <is>
          <t>Ecrit 6m + 4n = 34 000 puis m = -26 000 FCFA</t>
        </is>
      </c>
      <c r="F781" s="22" t="inlineStr">
        <is>
          <t>La première équation est multipliée par 2 sans son second membre : 34 000 - 60 000 = -26 000.</t>
        </is>
      </c>
    </row>
    <row r="782">
      <c r="A782" s="20" t="inlineStr">
        <is>
          <t>1ereD</t>
        </is>
      </c>
      <c r="B782" s="21" t="inlineStr">
        <is>
          <t>L8</t>
        </is>
      </c>
      <c r="C782" s="20" t="inlineStr">
        <is>
          <t>L.SYSL</t>
        </is>
      </c>
      <c r="D782" s="21" t="inlineStr">
        <is>
          <t>ATT</t>
        </is>
      </c>
      <c r="E782" s="20" t="inlineStr">
        <is>
          <t>Ecrit « un sac de mil coûte 5 000 FCFA »</t>
        </is>
      </c>
      <c r="F782" s="20" t="inlineStr">
        <is>
          <t>Le système est bien résolu (m = 8 000, n = 5 000) mais la valeur du niébé est donnée : réponse reportée sur la mauvaise inconnue.</t>
        </is>
      </c>
    </row>
    <row r="783">
      <c r="A783" s="22" t="inlineStr">
        <is>
          <t>1ereD</t>
        </is>
      </c>
      <c r="B783" s="23" t="inlineStr">
        <is>
          <t>L8</t>
        </is>
      </c>
      <c r="C783" s="22" t="inlineStr">
        <is>
          <t>L.SYSL</t>
        </is>
      </c>
      <c r="D783" s="23" t="inlineStr">
        <is>
          <t>RED</t>
        </is>
      </c>
      <c r="E783" s="22" t="inlineStr">
        <is>
          <t>Ecrit 8 000 FCFA sans système ni inconnues nommées</t>
        </is>
      </c>
      <c r="F783" s="22" t="inlineStr">
        <is>
          <t>Le résultat est juste mais la traduction demandée n'est pas écrite : la démarche ne peut pas être suivie.</t>
        </is>
      </c>
    </row>
    <row r="784">
      <c r="A784" s="20" t="inlineStr">
        <is>
          <t>1ereD</t>
        </is>
      </c>
      <c r="B784" s="21" t="inlineStr">
        <is>
          <t>F7</t>
        </is>
      </c>
      <c r="C784" s="20" t="inlineStr">
        <is>
          <t>F.DEF</t>
        </is>
      </c>
      <c r="D784" s="21" t="inlineStr">
        <is>
          <t>CPT</t>
        </is>
      </c>
      <c r="E784" s="20" t="inlineStr">
        <is>
          <t>Ecrit D = ]-3 ; 1[ ∪ ]1 ; +∞[ et « -3 n'appartient pas »</t>
        </is>
      </c>
      <c r="F784" s="20" t="inlineStr">
        <is>
          <t>L'élève exige un radicande strictement positif : la racine carrée de 0 est crue non définie.</t>
        </is>
      </c>
    </row>
    <row r="785">
      <c r="A785" s="22" t="inlineStr">
        <is>
          <t>1ereD</t>
        </is>
      </c>
      <c r="B785" s="23" t="inlineStr">
        <is>
          <t>F7</t>
        </is>
      </c>
      <c r="C785" s="22" t="inlineStr">
        <is>
          <t>F.DEF</t>
        </is>
      </c>
      <c r="D785" s="23" t="inlineStr">
        <is>
          <t>CNS</t>
        </is>
      </c>
      <c r="E785" s="22" t="inlineStr">
        <is>
          <t>Ecrit D = ℝ ∖ {1}</t>
        </is>
      </c>
      <c r="F785" s="22" t="inlineStr">
        <is>
          <t>Seule la condition du dénominateur est posée : la contrainte de la racine carrée n'est pas mobilisée.</t>
        </is>
      </c>
    </row>
    <row r="786">
      <c r="A786" s="20" t="inlineStr">
        <is>
          <t>1ereD</t>
        </is>
      </c>
      <c r="B786" s="21" t="inlineStr">
        <is>
          <t>F7</t>
        </is>
      </c>
      <c r="C786" s="20" t="inlineStr">
        <is>
          <t>F.DEF</t>
        </is>
      </c>
      <c r="D786" s="21" t="inlineStr">
        <is>
          <t>PRC</t>
        </is>
      </c>
      <c r="E786" s="20" t="inlineStr">
        <is>
          <t>Ecrit D = [3 ; +∞[</t>
        </is>
      </c>
      <c r="F786" s="20" t="inlineStr">
        <is>
          <t>x + 3 ≥ 0 est résolu en x ≥ 3 : la bonne condition est posée mais mal résolue.</t>
        </is>
      </c>
    </row>
    <row r="787">
      <c r="A787" s="22" t="inlineStr">
        <is>
          <t>1ereD</t>
        </is>
      </c>
      <c r="B787" s="23" t="inlineStr">
        <is>
          <t>F7</t>
        </is>
      </c>
      <c r="C787" s="22" t="inlineStr">
        <is>
          <t>F.DEF</t>
        </is>
      </c>
      <c r="D787" s="23" t="inlineStr">
        <is>
          <t>RED</t>
        </is>
      </c>
      <c r="E787" s="22" t="inlineStr">
        <is>
          <t>Ecrit « oui, -3 appartient à D » sans justification</t>
        </is>
      </c>
      <c r="F787" s="22" t="inlineStr">
        <is>
          <t>Le jugement est juste mais ni le radicande nul permis ni -3 ≠ 1 ne sont cités.</t>
        </is>
      </c>
    </row>
    <row r="788">
      <c r="A788" s="20" t="inlineStr">
        <is>
          <t>1ereD</t>
        </is>
      </c>
      <c r="B788" s="21" t="inlineStr">
        <is>
          <t>F8</t>
        </is>
      </c>
      <c r="C788" s="20" t="inlineStr">
        <is>
          <t>F.PAR</t>
        </is>
      </c>
      <c r="D788" s="21" t="inlineStr">
        <is>
          <t>PRQ</t>
        </is>
      </c>
      <c r="E788" s="20" t="inlineStr">
        <is>
          <t>Ecrit v(-x) = (-x² + 1)/(-x² + 3) puis « fausse »</t>
        </is>
      </c>
      <c r="F788" s="20" t="inlineStr">
        <is>
          <t>(-x)² est écrit -x² : le carré d'un nombre négatif (classe de 4ème) n'est pas sûr.</t>
        </is>
      </c>
    </row>
    <row r="789">
      <c r="A789" s="22" t="inlineStr">
        <is>
          <t>1ereD</t>
        </is>
      </c>
      <c r="B789" s="23" t="inlineStr">
        <is>
          <t>F8</t>
        </is>
      </c>
      <c r="C789" s="22" t="inlineStr">
        <is>
          <t>F.PAR</t>
        </is>
      </c>
      <c r="D789" s="23" t="inlineStr">
        <is>
          <t>CPT</t>
        </is>
      </c>
      <c r="E789" s="22" t="inlineStr">
        <is>
          <t>Ecrit « v est paire donc symétrique par rapport à O, affirmation fausse »</t>
        </is>
      </c>
      <c r="F789" s="22" t="inlineStr">
        <is>
          <t>Les symétries sont échangées : fonction paire associée au centre O au lieu de l'axe des ordonnées.</t>
        </is>
      </c>
    </row>
    <row r="790">
      <c r="A790" s="20" t="inlineStr">
        <is>
          <t>1ereD</t>
        </is>
      </c>
      <c r="B790" s="21" t="inlineStr">
        <is>
          <t>F8</t>
        </is>
      </c>
      <c r="C790" s="20" t="inlineStr">
        <is>
          <t>F.PAR</t>
        </is>
      </c>
      <c r="D790" s="21" t="inlineStr">
        <is>
          <t>RED</t>
        </is>
      </c>
      <c r="E790" s="20" t="inlineStr">
        <is>
          <t>Ecrit v(1) = v(-1) = 1/2 donc « vraie »</t>
        </is>
      </c>
      <c r="F790" s="20" t="inlineStr">
        <is>
          <t>Une vérification sur une valeur ne prouve pas l'égalité v(-x) = v(x) pour tout réel x.</t>
        </is>
      </c>
    </row>
    <row r="791">
      <c r="A791" s="22" t="inlineStr">
        <is>
          <t>1ereD</t>
        </is>
      </c>
      <c r="B791" s="23" t="inlineStr">
        <is>
          <t>F9</t>
        </is>
      </c>
      <c r="C791" s="22" t="inlineStr">
        <is>
          <t>F.GRA</t>
        </is>
      </c>
      <c r="D791" s="23" t="inlineStr">
        <is>
          <t>CPT</t>
        </is>
      </c>
      <c r="E791" s="22" t="inlineStr">
        <is>
          <t>Ecrit S = [0 ; 6]</t>
        </is>
      </c>
      <c r="F791" s="22" t="inlineStr">
        <is>
          <t>Le signe est confondu avec le sens de variation : l'élève retient l'intervalle où f est croissante.</t>
        </is>
      </c>
    </row>
    <row r="792">
      <c r="A792" s="20" t="inlineStr">
        <is>
          <t>1ereD</t>
        </is>
      </c>
      <c r="B792" s="21" t="inlineStr">
        <is>
          <t>F9</t>
        </is>
      </c>
      <c r="C792" s="20" t="inlineStr">
        <is>
          <t>F.GRA</t>
        </is>
      </c>
      <c r="D792" s="21" t="inlineStr">
        <is>
          <t>PRC</t>
        </is>
      </c>
      <c r="E792" s="20" t="inlineStr">
        <is>
          <t>Ecrit S = [-2 ; 4]</t>
        </is>
      </c>
      <c r="F792" s="20" t="inlineStr">
        <is>
          <t>Les zéros -2 et 4 sont bien trouvés mais l'intervalle retenu est celui où f est négative.</t>
        </is>
      </c>
    </row>
    <row r="793">
      <c r="A793" s="22" t="inlineStr">
        <is>
          <t>1ereD</t>
        </is>
      </c>
      <c r="B793" s="23" t="inlineStr">
        <is>
          <t>F9</t>
        </is>
      </c>
      <c r="C793" s="22" t="inlineStr">
        <is>
          <t>F.GRA</t>
        </is>
      </c>
      <c r="D793" s="23" t="inlineStr">
        <is>
          <t>PRC</t>
        </is>
      </c>
      <c r="E793" s="22" t="inlineStr">
        <is>
          <t>Ecrit S = [4 ; 6]</t>
        </is>
      </c>
      <c r="F793" s="22" t="inlineStr">
        <is>
          <t>Un seul des deux morceaux est donné : la partie [-4 ; -2] est omise.</t>
        </is>
      </c>
    </row>
    <row r="794">
      <c r="A794" s="20" t="inlineStr">
        <is>
          <t>1ereD</t>
        </is>
      </c>
      <c r="B794" s="21" t="inlineStr">
        <is>
          <t>F9</t>
        </is>
      </c>
      <c r="C794" s="20" t="inlineStr">
        <is>
          <t>F.GRA</t>
        </is>
      </c>
      <c r="D794" s="21" t="inlineStr">
        <is>
          <t>CNS</t>
        </is>
      </c>
      <c r="E794" s="20" t="inlineStr">
        <is>
          <t>Ecrit S = ]-∞ ; -2] ∪ [4 ; +∞[</t>
        </is>
      </c>
      <c r="F794" s="20" t="inlineStr">
        <is>
          <t>L'ensemble de définition [-4 ; 6] n'est pas pris en compte dans l'écriture de l'ensemble des solutions.</t>
        </is>
      </c>
    </row>
    <row r="795">
      <c r="A795" s="22" t="inlineStr">
        <is>
          <t>1ereD</t>
        </is>
      </c>
      <c r="B795" s="23" t="inlineStr">
        <is>
          <t>F9</t>
        </is>
      </c>
      <c r="C795" s="22" t="inlineStr">
        <is>
          <t>F.GRA</t>
        </is>
      </c>
      <c r="D795" s="23" t="inlineStr">
        <is>
          <t>RED</t>
        </is>
      </c>
      <c r="E795" s="22" t="inlineStr">
        <is>
          <t>Ecrit « f(1) est négatif » sans argument de variation</t>
        </is>
      </c>
      <c r="F795" s="22" t="inlineStr">
        <is>
          <t>La réponse est juste mais ni la croissance sur [0 ; 4] ni 1 &lt; 4 ne sont invoquées.</t>
        </is>
      </c>
    </row>
    <row r="796">
      <c r="A796" s="20" t="inlineStr">
        <is>
          <t>1ereD</t>
        </is>
      </c>
      <c r="B796" s="21" t="inlineStr">
        <is>
          <t>F10</t>
        </is>
      </c>
      <c r="C796" s="20" t="inlineStr">
        <is>
          <t>F.CIRC</t>
        </is>
      </c>
      <c r="D796" s="21" t="inlineStr">
        <is>
          <t>CNS</t>
        </is>
      </c>
      <c r="E796" s="20" t="inlineStr">
        <is>
          <t>Ecrit cos x = 3/5</t>
        </is>
      </c>
      <c r="F796" s="20" t="inlineStr">
        <is>
          <t>cos² x = 9/25 est juste mais le signe du cosinus dans le deuxième quadrant n'est pas mobilisé.</t>
        </is>
      </c>
    </row>
    <row r="797">
      <c r="A797" s="22" t="inlineStr">
        <is>
          <t>1ereD</t>
        </is>
      </c>
      <c r="B797" s="23" t="inlineStr">
        <is>
          <t>F10</t>
        </is>
      </c>
      <c r="C797" s="22" t="inlineStr">
        <is>
          <t>F.CIRC</t>
        </is>
      </c>
      <c r="D797" s="23" t="inlineStr">
        <is>
          <t>CPT</t>
        </is>
      </c>
      <c r="E797" s="22" t="inlineStr">
        <is>
          <t>Ecrit cos x = 1 - 4/5 = 1/5</t>
        </is>
      </c>
      <c r="F797" s="22" t="inlineStr">
        <is>
          <t>La relation fondamentale est remplacée par cos x + sin x = 1 : les carrés sont oubliés.</t>
        </is>
      </c>
    </row>
    <row r="798">
      <c r="A798" s="20" t="inlineStr">
        <is>
          <t>1ereD</t>
        </is>
      </c>
      <c r="B798" s="21" t="inlineStr">
        <is>
          <t>F10</t>
        </is>
      </c>
      <c r="C798" s="20" t="inlineStr">
        <is>
          <t>F.CIRC</t>
        </is>
      </c>
      <c r="D798" s="21" t="inlineStr">
        <is>
          <t>PRC</t>
        </is>
      </c>
      <c r="E798" s="20" t="inlineStr">
        <is>
          <t>Ecrit cos² x = 1 - 4/5 = 1/5 puis cos x = -1/√5</t>
        </is>
      </c>
      <c r="F798" s="20" t="inlineStr">
        <is>
          <t>La relation cos² x + sin² x = 1 est choisie mais sin x n'est pas élevé au carré.</t>
        </is>
      </c>
    </row>
    <row r="799">
      <c r="A799" s="22" t="inlineStr">
        <is>
          <t>1ereD</t>
        </is>
      </c>
      <c r="B799" s="23" t="inlineStr">
        <is>
          <t>F10</t>
        </is>
      </c>
      <c r="C799" s="22" t="inlineStr">
        <is>
          <t>F.CIRC</t>
        </is>
      </c>
      <c r="D799" s="23" t="inlineStr">
        <is>
          <t>RED</t>
        </is>
      </c>
      <c r="E799" s="22" t="inlineStr">
        <is>
          <t>Ecrit cos x = -3/5 sans justifier le signe</t>
        </is>
      </c>
      <c r="F799" s="22" t="inlineStr">
        <is>
          <t>Le résultat est juste mais l'appartenance de x au deuxième quadrant n'est pas citée.</t>
        </is>
      </c>
    </row>
    <row r="800">
      <c r="A800" s="20" t="inlineStr">
        <is>
          <t>1ereD</t>
        </is>
      </c>
      <c r="B800" s="21" t="inlineStr">
        <is>
          <t>G8</t>
        </is>
      </c>
      <c r="C800" s="20" t="inlineStr">
        <is>
          <t>G.COL</t>
        </is>
      </c>
      <c r="D800" s="21" t="inlineStr">
        <is>
          <t>PRC</t>
        </is>
      </c>
      <c r="E800" s="20" t="inlineStr">
        <is>
          <t>Ecrit vecteur BM = 4 vecteur AB - 2 vecteur AC</t>
        </is>
      </c>
      <c r="F800" s="20" t="inlineStr">
        <is>
          <t>Chasles est bien choisi mais vecteur BA est remplacé par vecteur AB : -AB + 3AB devient AB + 3AB.</t>
        </is>
      </c>
    </row>
    <row r="801">
      <c r="A801" s="22" t="inlineStr">
        <is>
          <t>1ereD</t>
        </is>
      </c>
      <c r="B801" s="23" t="inlineStr">
        <is>
          <t>G8</t>
        </is>
      </c>
      <c r="C801" s="22" t="inlineStr">
        <is>
          <t>G.COL</t>
        </is>
      </c>
      <c r="D801" s="23" t="inlineStr">
        <is>
          <t>CPT</t>
        </is>
      </c>
      <c r="E801" s="22" t="inlineStr">
        <is>
          <t>Ecrit vecteur BM = 2 vecteur BC</t>
        </is>
      </c>
      <c r="F801" s="22" t="inlineStr">
        <is>
          <t>vecteur AB - vecteur AC est pris égal à vecteur BC au lieu de vecteur CB : l'ordre des points dans la différence est mal compris.</t>
        </is>
      </c>
    </row>
    <row r="802">
      <c r="A802" s="20" t="inlineStr">
        <is>
          <t>1ereD</t>
        </is>
      </c>
      <c r="B802" s="21" t="inlineStr">
        <is>
          <t>G8</t>
        </is>
      </c>
      <c r="C802" s="20" t="inlineStr">
        <is>
          <t>G.COL</t>
        </is>
      </c>
      <c r="D802" s="21" t="inlineStr">
        <is>
          <t>CNS</t>
        </is>
      </c>
      <c r="E802" s="20" t="inlineStr">
        <is>
          <t>Ecrit vecteur BM = 3 vecteur AB - 2 vecteur AC</t>
        </is>
      </c>
      <c r="F802" s="20" t="inlineStr">
        <is>
          <t>BM est confondu avec AM : la relation de Chasles n'est pas mobilisée.</t>
        </is>
      </c>
    </row>
    <row r="803">
      <c r="A803" s="22" t="inlineStr">
        <is>
          <t>1ereD</t>
        </is>
      </c>
      <c r="B803" s="23" t="inlineStr">
        <is>
          <t>G8</t>
        </is>
      </c>
      <c r="C803" s="22" t="inlineStr">
        <is>
          <t>G.COL</t>
        </is>
      </c>
      <c r="D803" s="23" t="inlineStr">
        <is>
          <t>RED</t>
        </is>
      </c>
      <c r="E803" s="22" t="inlineStr">
        <is>
          <t>Ecrit vecteur BM = -2 vecteur BC « donc alignés » sans plus</t>
        </is>
      </c>
      <c r="F803" s="22" t="inlineStr">
        <is>
          <t>La conclusion est juste mais la colinéarité de deux vecteurs de même origine B n'est pas invoquée.</t>
        </is>
      </c>
    </row>
    <row r="804">
      <c r="A804" s="20" t="inlineStr">
        <is>
          <t>1ereD</t>
        </is>
      </c>
      <c r="B804" s="21" t="inlineStr">
        <is>
          <t>G9</t>
        </is>
      </c>
      <c r="C804" s="20" t="inlineStr">
        <is>
          <t>G.COL</t>
        </is>
      </c>
      <c r="D804" s="21" t="inlineStr">
        <is>
          <t>PRC</t>
        </is>
      </c>
      <c r="E804" s="20" t="inlineStr">
        <is>
          <t>Ecrit vecteur AC(1 ; 5) puis AB · AC = 14</t>
        </is>
      </c>
      <c r="F804" s="20" t="inlineStr">
        <is>
          <t>0 - 1 est calculé 1 : la coordonnée de vecteur AC est fausse, d'où 4 × 1 + 2 × 5 = 14.</t>
        </is>
      </c>
    </row>
    <row r="805">
      <c r="A805" s="22" t="inlineStr">
        <is>
          <t>1ereD</t>
        </is>
      </c>
      <c r="B805" s="23" t="inlineStr">
        <is>
          <t>G9</t>
        </is>
      </c>
      <c r="C805" s="22" t="inlineStr">
        <is>
          <t>G.PS</t>
        </is>
      </c>
      <c r="D805" s="23" t="inlineStr">
        <is>
          <t>CPT</t>
        </is>
      </c>
      <c r="E805" s="22" t="inlineStr">
        <is>
          <t>Ecrit « 6 ≠ 0 donc rectangle en A »</t>
        </is>
      </c>
      <c r="F805" s="22" t="inlineStr">
        <is>
          <t>Le critère d'orthogonalité est retourné : un produit scalaire non nul est cru signe d'angle droit.</t>
        </is>
      </c>
    </row>
    <row r="806">
      <c r="A806" s="20" t="inlineStr">
        <is>
          <t>1ereD</t>
        </is>
      </c>
      <c r="B806" s="21" t="inlineStr">
        <is>
          <t>G9</t>
        </is>
      </c>
      <c r="C806" s="20" t="inlineStr">
        <is>
          <t>G.PS</t>
        </is>
      </c>
      <c r="D806" s="21" t="inlineStr">
        <is>
          <t>CNS</t>
        </is>
      </c>
      <c r="E806" s="20" t="inlineStr">
        <is>
          <t>Ecrit AB · AC = 4 × (-1) - 2 × 5 = -14</t>
        </is>
      </c>
      <c r="F806" s="20" t="inlineStr">
        <is>
          <t>La formule xx' + yy' n'est pas disponible : une différence des produits est écrite et assumée.</t>
        </is>
      </c>
    </row>
    <row r="807">
      <c r="A807" s="22" t="inlineStr">
        <is>
          <t>1ereD</t>
        </is>
      </c>
      <c r="B807" s="23" t="inlineStr">
        <is>
          <t>G9</t>
        </is>
      </c>
      <c r="C807" s="22" t="inlineStr">
        <is>
          <t>G.PS</t>
        </is>
      </c>
      <c r="D807" s="23" t="inlineStr">
        <is>
          <t>RED</t>
        </is>
      </c>
      <c r="E807" s="22" t="inlineStr">
        <is>
          <t>Ecrit « non rectangle » sans citer produit scalaire nul ⇔ angle droit</t>
        </is>
      </c>
      <c r="F807" s="22" t="inlineStr">
        <is>
          <t>Le calcul est juste mais la conclusion n'est rattachée à aucun critère.</t>
        </is>
      </c>
    </row>
    <row r="808">
      <c r="A808" s="20" t="inlineStr">
        <is>
          <t>1ereD</t>
        </is>
      </c>
      <c r="B808" s="21" t="inlineStr">
        <is>
          <t>G10</t>
        </is>
      </c>
      <c r="C808" s="20" t="inlineStr">
        <is>
          <t>G.PLAN</t>
        </is>
      </c>
      <c r="D808" s="21" t="inlineStr">
        <is>
          <t>PRQ</t>
        </is>
      </c>
      <c r="E808" s="20" t="inlineStr">
        <is>
          <t>Ecrit seulement y = 3</t>
        </is>
      </c>
      <c r="F808" s="20" t="inlineStr">
        <is>
          <t>(y + 1)² = 16 est résolu en y + 1 = 4 seulement : l'équation X² = a (classe de 3ème) n'est pas sûre.</t>
        </is>
      </c>
    </row>
    <row r="809">
      <c r="A809" s="22" t="inlineStr">
        <is>
          <t>1ereD</t>
        </is>
      </c>
      <c r="B809" s="23" t="inlineStr">
        <is>
          <t>G10</t>
        </is>
      </c>
      <c r="C809" s="22" t="inlineStr">
        <is>
          <t>G.PLAN</t>
        </is>
      </c>
      <c r="D809" s="23" t="inlineStr">
        <is>
          <t>CNS</t>
        </is>
      </c>
      <c r="E809" s="22" t="inlineStr">
        <is>
          <t>Ecrit 9 + (y + 1)² = 5 donc « aucun point »</t>
        </is>
      </c>
      <c r="F809" s="22" t="inlineStr">
        <is>
          <t>Le rayon n'est pas élevé au carré : l'équation du cercle IM² = r² n'est pas disponible.</t>
        </is>
      </c>
    </row>
    <row r="810">
      <c r="A810" s="20" t="inlineStr">
        <is>
          <t>1ereD</t>
        </is>
      </c>
      <c r="B810" s="21" t="inlineStr">
        <is>
          <t>G10</t>
        </is>
      </c>
      <c r="C810" s="20" t="inlineStr">
        <is>
          <t>G.PLAN</t>
        </is>
      </c>
      <c r="D810" s="21" t="inlineStr">
        <is>
          <t>PRC</t>
        </is>
      </c>
      <c r="E810" s="20" t="inlineStr">
        <is>
          <t>Ecrit y = 5 et y = -3</t>
        </is>
      </c>
      <c r="F810" s="20" t="inlineStr">
        <is>
          <t>L'équation est bien posée mais l'ordonnée du centre est prise avec le mauvais signe : (y - 1)² = 16.</t>
        </is>
      </c>
    </row>
    <row r="811">
      <c r="A811" s="22" t="inlineStr">
        <is>
          <t>1ereD</t>
        </is>
      </c>
      <c r="B811" s="23" t="inlineStr">
        <is>
          <t>G10</t>
        </is>
      </c>
      <c r="C811" s="22" t="inlineStr">
        <is>
          <t>G.PLAN</t>
        </is>
      </c>
      <c r="D811" s="23" t="inlineStr">
        <is>
          <t>RED</t>
        </is>
      </c>
      <c r="E811" s="22" t="inlineStr">
        <is>
          <t>Ecrit « Rakieta a raison car 8 est loin du centre »</t>
        </is>
      </c>
      <c r="F811" s="22" t="inlineStr">
        <is>
          <t>Le jugement est juste mais sans calcul : ni 36 &gt; 25 ni la distance 6 comparée au rayon 5.</t>
        </is>
      </c>
    </row>
    <row r="812">
      <c r="A812" s="20" t="inlineStr">
        <is>
          <t>1ereD</t>
        </is>
      </c>
      <c r="B812" s="21" t="inlineStr">
        <is>
          <t>D2</t>
        </is>
      </c>
      <c r="C812" s="20" t="inlineStr">
        <is>
          <t>D.STAT2</t>
        </is>
      </c>
      <c r="D812" s="21" t="inlineStr">
        <is>
          <t>MOD</t>
        </is>
      </c>
      <c r="E812" s="20" t="inlineStr">
        <is>
          <t>Ecrit 12 × 6 = 72 puis note effacée = 3</t>
        </is>
      </c>
      <c r="F812" s="20" t="inlineStr">
        <is>
          <t>L'effectif est pris égal aux 6 notes lisibles au lieu de 7 : l'énoncé n'est pas traduit correctement.</t>
        </is>
      </c>
    </row>
    <row r="813">
      <c r="A813" s="22" t="inlineStr">
        <is>
          <t>1ereD</t>
        </is>
      </c>
      <c r="B813" s="23" t="inlineStr">
        <is>
          <t>D2</t>
        </is>
      </c>
      <c r="C813" s="22" t="inlineStr">
        <is>
          <t>D.STAT2</t>
        </is>
      </c>
      <c r="D813" s="23" t="inlineStr">
        <is>
          <t>CPT</t>
        </is>
      </c>
      <c r="E813" s="22" t="inlineStr">
        <is>
          <t>Ecrit note effacée = 12</t>
        </is>
      </c>
      <c r="F813" s="22" t="inlineStr">
        <is>
          <t>La note manquante est crue égale à la moyenne : le lien moyenne et somme n'est pas compris.</t>
        </is>
      </c>
    </row>
    <row r="814">
      <c r="A814" s="20" t="inlineStr">
        <is>
          <t>1ereD</t>
        </is>
      </c>
      <c r="B814" s="21" t="inlineStr">
        <is>
          <t>D2</t>
        </is>
      </c>
      <c r="C814" s="20" t="inlineStr">
        <is>
          <t>D.STAT2</t>
        </is>
      </c>
      <c r="D814" s="21" t="inlineStr">
        <is>
          <t>PRC</t>
        </is>
      </c>
      <c r="E814" s="20" t="inlineStr">
        <is>
          <t>Ecrit médiane = 9</t>
        </is>
      </c>
      <c r="F814" s="20" t="inlineStr">
        <is>
          <t>La série 8, 12, 15, 9, 11, 14, 15 n'est pas rangée : sa 4e valeur 9 est prise, l'étape de rangement est omise.</t>
        </is>
      </c>
    </row>
    <row r="815">
      <c r="A815" s="22" t="inlineStr">
        <is>
          <t>1ereD</t>
        </is>
      </c>
      <c r="B815" s="23" t="inlineStr">
        <is>
          <t>D2</t>
        </is>
      </c>
      <c r="C815" s="22" t="inlineStr">
        <is>
          <t>D.STAT2</t>
        </is>
      </c>
      <c r="D815" s="23" t="inlineStr">
        <is>
          <t>ATT</t>
        </is>
      </c>
      <c r="E815" s="22" t="inlineStr">
        <is>
          <t>Ecrit médiane = 11,5</t>
        </is>
      </c>
      <c r="F815" s="22" t="inlineStr">
        <is>
          <t>La médiane est calculée sur les six notes lisibles : la note retrouvée n'est pas réintégrée dans la série.</t>
        </is>
      </c>
    </row>
    <row r="816">
      <c r="A816" s="20" t="inlineStr">
        <is>
          <t>1ereD</t>
        </is>
      </c>
      <c r="B816" s="21" t="inlineStr">
        <is>
          <t>D2</t>
        </is>
      </c>
      <c r="C816" s="20" t="inlineStr">
        <is>
          <t>D.STAT2</t>
        </is>
      </c>
      <c r="D816" s="21" t="inlineStr">
        <is>
          <t>RED</t>
        </is>
      </c>
      <c r="E816" s="20" t="inlineStr">
        <is>
          <t>Répond « oui » sans écrire la série ordonnée</t>
        </is>
      </c>
      <c r="F816" s="20" t="inlineStr">
        <is>
          <t>La conclusion est juste mais le rangement qui la fonde n'apparaît pas.</t>
        </is>
      </c>
    </row>
    <row r="817">
      <c r="A817" s="22" t="inlineStr">
        <is>
          <t>1ereD</t>
        </is>
      </c>
      <c r="B817" s="23" t="inlineStr">
        <is>
          <t>P1.1</t>
        </is>
      </c>
      <c r="C817" s="22" t="inlineStr">
        <is>
          <t>L.EQ2</t>
        </is>
      </c>
      <c r="D817" s="23" t="inlineStr">
        <is>
          <t>PRQ</t>
        </is>
      </c>
      <c r="E817" s="22" t="inlineStr">
        <is>
          <t>Ecrit (x - 2)² = x² - 4 puis -x² + 8</t>
        </is>
      </c>
      <c r="F817" s="22" t="inlineStr">
        <is>
          <t>L'identité remarquable (a - b)² (classe de 3ème) n'est pas maîtrisée : le double produit disparaît.</t>
        </is>
      </c>
    </row>
    <row r="818">
      <c r="A818" s="20" t="inlineStr">
        <is>
          <t>1ereD</t>
        </is>
      </c>
      <c r="B818" s="21" t="inlineStr">
        <is>
          <t>P1.1</t>
        </is>
      </c>
      <c r="C818" s="20" t="inlineStr">
        <is>
          <t>L.EQ2</t>
        </is>
      </c>
      <c r="D818" s="21" t="inlineStr">
        <is>
          <t>PRC</t>
        </is>
      </c>
      <c r="E818" s="20" t="inlineStr">
        <is>
          <t>Ecrit -(x² - 4x + 4) + 4 = -x² - 4x + 8</t>
        </is>
      </c>
      <c r="F818" s="20" t="inlineStr">
        <is>
          <t>Le développement de (x - 2)² est juste mais le signe moins n'est appliqué qu'au premier terme.</t>
        </is>
      </c>
    </row>
    <row r="819">
      <c r="A819" s="22" t="inlineStr">
        <is>
          <t>1ereD</t>
        </is>
      </c>
      <c r="B819" s="23" t="inlineStr">
        <is>
          <t>P1.1</t>
        </is>
      </c>
      <c r="C819" s="22" t="inlineStr">
        <is>
          <t>L.EQ2</t>
        </is>
      </c>
      <c r="D819" s="23" t="inlineStr">
        <is>
          <t>CPT</t>
        </is>
      </c>
      <c r="E819" s="22" t="inlineStr">
        <is>
          <t>Ecrit f(1) = 3 et -(1 - 2)² + 4 = 3 donc « vérifié »</t>
        </is>
      </c>
      <c r="F819" s="22" t="inlineStr">
        <is>
          <t>L'élève croit qu'un exemple numérique prouve une égalité valable pour tout x.</t>
        </is>
      </c>
    </row>
    <row r="820">
      <c r="A820" s="20" t="inlineStr">
        <is>
          <t>1ereD</t>
        </is>
      </c>
      <c r="B820" s="21" t="inlineStr">
        <is>
          <t>P1.1</t>
        </is>
      </c>
      <c r="C820" s="20" t="inlineStr">
        <is>
          <t>L.EQ2</t>
        </is>
      </c>
      <c r="D820" s="21" t="inlineStr">
        <is>
          <t>RED</t>
        </is>
      </c>
      <c r="E820" s="20" t="inlineStr">
        <is>
          <t>Ecrit « -x² + 4x = -(x - 2)² + 4 » sans aucun calcul</t>
        </is>
      </c>
      <c r="F820" s="20" t="inlineStr">
        <is>
          <t>L'égalité est recopiée de l'énoncé sans développement : rien ne permet de suivre la vérification.</t>
        </is>
      </c>
    </row>
    <row r="821">
      <c r="A821" s="22" t="inlineStr">
        <is>
          <t>1ereD</t>
        </is>
      </c>
      <c r="B821" s="23" t="inlineStr">
        <is>
          <t>P1.2</t>
        </is>
      </c>
      <c r="C821" s="22" t="inlineStr">
        <is>
          <t>F.REF</t>
        </is>
      </c>
      <c r="D821" s="23" t="inlineStr">
        <is>
          <t>MOD</t>
        </is>
      </c>
      <c r="E821" s="22" t="inlineStr">
        <is>
          <t>Ecrit « hauteur maximale 2 m, atteinte à 4 m du jet »</t>
        </is>
      </c>
      <c r="F821" s="22" t="inlineStr">
        <is>
          <t>Les deux coordonnées du sommet (2 ; 4) sont échangées : distance et hauteur ne sont pas rattachées à x et f(x).</t>
        </is>
      </c>
    </row>
    <row r="822">
      <c r="A822" s="20" t="inlineStr">
        <is>
          <t>1ereD</t>
        </is>
      </c>
      <c r="B822" s="21" t="inlineStr">
        <is>
          <t>P1.2</t>
        </is>
      </c>
      <c r="C822" s="20" t="inlineStr">
        <is>
          <t>F.REF</t>
        </is>
      </c>
      <c r="D822" s="21" t="inlineStr">
        <is>
          <t>PRC</t>
        </is>
      </c>
      <c r="E822" s="20" t="inlineStr">
        <is>
          <t>Ecrit « maximum 4 m atteint à -2 m du jet »</t>
        </is>
      </c>
      <c r="F822" s="20" t="inlineStr">
        <is>
          <t>La lecture de la forme canonique est connue mais l'abscisse est prise avec le mauvais signe.</t>
        </is>
      </c>
    </row>
    <row r="823">
      <c r="A823" s="22" t="inlineStr">
        <is>
          <t>1ereD</t>
        </is>
      </c>
      <c r="B823" s="23" t="inlineStr">
        <is>
          <t>P1.2</t>
        </is>
      </c>
      <c r="C823" s="22" t="inlineStr">
        <is>
          <t>F.REF</t>
        </is>
      </c>
      <c r="D823" s="23" t="inlineStr">
        <is>
          <t>CNS</t>
        </is>
      </c>
      <c r="E823" s="22" t="inlineStr">
        <is>
          <t>Ecrit f(4) = 0 et « hauteur maximale 0 m »</t>
        </is>
      </c>
      <c r="F823" s="22" t="inlineStr">
        <is>
          <t>Le lien entre forme canonique et maximum n'est pas mobilisé : l'élève calcule une image au hasard des données.</t>
        </is>
      </c>
    </row>
    <row r="824">
      <c r="A824" s="20" t="inlineStr">
        <is>
          <t>1ereD</t>
        </is>
      </c>
      <c r="B824" s="21" t="inlineStr">
        <is>
          <t>P1.2</t>
        </is>
      </c>
      <c r="C824" s="20" t="inlineStr">
        <is>
          <t>F.REF</t>
        </is>
      </c>
      <c r="D824" s="21" t="inlineStr">
        <is>
          <t>RED</t>
        </is>
      </c>
      <c r="E824" s="20" t="inlineStr">
        <is>
          <t>Ecrit f(1) = 3, f(2) = 4, f(3) = 3 puis « maximum 4 m »</t>
        </is>
      </c>
      <c r="F824" s="20" t="inlineStr">
        <is>
          <t>Le résultat est juste mais un tableau de valeurs ne prouve pas le maximum : l'argument (x - 2)² ≥ 0 manque.</t>
        </is>
      </c>
    </row>
    <row r="825">
      <c r="A825" s="22" t="inlineStr">
        <is>
          <t>1ereD</t>
        </is>
      </c>
      <c r="B825" s="23" t="inlineStr">
        <is>
          <t>P1.3</t>
        </is>
      </c>
      <c r="C825" s="22" t="inlineStr">
        <is>
          <t>F.GRA</t>
        </is>
      </c>
      <c r="D825" s="23" t="inlineStr">
        <is>
          <t>PRC</t>
        </is>
      </c>
      <c r="E825" s="22" t="inlineStr">
        <is>
          <t>Ecrit f(2,5) = -(0,5)² + 4 = 4,25</t>
        </is>
      </c>
      <c r="F825" s="22" t="inlineStr">
        <is>
          <t>Le calcul d'image est bien posé mais -0,25 devient +0,25 : erreur de signe.</t>
        </is>
      </c>
    </row>
    <row r="826">
      <c r="A826" s="20" t="inlineStr">
        <is>
          <t>1ereD</t>
        </is>
      </c>
      <c r="B826" s="21" t="inlineStr">
        <is>
          <t>P1.3</t>
        </is>
      </c>
      <c r="C826" s="20" t="inlineStr">
        <is>
          <t>F.GRA</t>
        </is>
      </c>
      <c r="D826" s="21" t="inlineStr">
        <is>
          <t>PRQ</t>
        </is>
      </c>
      <c r="E826" s="20" t="inlineStr">
        <is>
          <t>Ecrit (0,5)² = 1 puis f(2,5) = 3 et « l'eau ne passe pas »</t>
        </is>
      </c>
      <c r="F826" s="20" t="inlineStr">
        <is>
          <t>Le carré d'un décimal (0,5 × 0,5) n'est pas sûr : 0,5² est confondu avec 0,5 × 2.</t>
        </is>
      </c>
    </row>
    <row r="827">
      <c r="A827" s="22" t="inlineStr">
        <is>
          <t>1ereD</t>
        </is>
      </c>
      <c r="B827" s="23" t="inlineStr">
        <is>
          <t>P1.3</t>
        </is>
      </c>
      <c r="C827" s="22" t="inlineStr">
        <is>
          <t>F.GRA</t>
        </is>
      </c>
      <c r="D827" s="23" t="inlineStr">
        <is>
          <t>MOD</t>
        </is>
      </c>
      <c r="E827" s="22" t="inlineStr">
        <is>
          <t>Ecrit f(3,5) = 1,75</t>
        </is>
      </c>
      <c r="F827" s="22" t="inlineStr">
        <is>
          <t>La hauteur du mur est prise comme distance au jet : les données du contexte sont mal affectées.</t>
        </is>
      </c>
    </row>
    <row r="828">
      <c r="A828" s="20" t="inlineStr">
        <is>
          <t>1ereD</t>
        </is>
      </c>
      <c r="B828" s="21" t="inlineStr">
        <is>
          <t>P1.3</t>
        </is>
      </c>
      <c r="C828" s="20" t="inlineStr">
        <is>
          <t>F.GRA</t>
        </is>
      </c>
      <c r="D828" s="21" t="inlineStr">
        <is>
          <t>RED</t>
        </is>
      </c>
      <c r="E828" s="20" t="inlineStr">
        <is>
          <t>Ecrit 3,75 &gt; 3,5 sans phrase de conclusion</t>
        </is>
      </c>
      <c r="F828" s="20" t="inlineStr">
        <is>
          <t>Le calcul et la comparaison sont justes mais la décision demandée n'est pas formulée.</t>
        </is>
      </c>
    </row>
    <row r="829">
      <c r="A829" s="22" t="inlineStr">
        <is>
          <t>1ereD</t>
        </is>
      </c>
      <c r="B829" s="23" t="inlineStr">
        <is>
          <t>P2.1</t>
        </is>
      </c>
      <c r="C829" s="22" t="inlineStr">
        <is>
          <t>D.STAT2</t>
        </is>
      </c>
      <c r="D829" s="23" t="inlineStr">
        <is>
          <t>CPT</t>
        </is>
      </c>
      <c r="E829" s="22" t="inlineStr">
        <is>
          <t>Ecrit médiane = 15</t>
        </is>
      </c>
      <c r="F829" s="22" t="inlineStr">
        <is>
          <t>La moyenne 135/9 = 15 est donnée comme médiane : les deux paramètres sont confondus.</t>
        </is>
      </c>
    </row>
    <row r="830">
      <c r="A830" s="20" t="inlineStr">
        <is>
          <t>1ereD</t>
        </is>
      </c>
      <c r="B830" s="21" t="inlineStr">
        <is>
          <t>P2.1</t>
        </is>
      </c>
      <c r="C830" s="20" t="inlineStr">
        <is>
          <t>D.STAT2</t>
        </is>
      </c>
      <c r="D830" s="21" t="inlineStr">
        <is>
          <t>PRC</t>
        </is>
      </c>
      <c r="E830" s="20" t="inlineStr">
        <is>
          <t>Ecrit médiane = 12</t>
        </is>
      </c>
      <c r="F830" s="20" t="inlineStr">
        <is>
          <t>La 5e valeur de la liste non rangée est prise : rangement omis (12 est aussi le mode, la lecture seule ne tranche pas).</t>
        </is>
      </c>
    </row>
    <row r="831">
      <c r="A831" s="22" t="inlineStr">
        <is>
          <t>1ereD</t>
        </is>
      </c>
      <c r="B831" s="23" t="inlineStr">
        <is>
          <t>P2.1</t>
        </is>
      </c>
      <c r="C831" s="22" t="inlineStr">
        <is>
          <t>D.STAT2</t>
        </is>
      </c>
      <c r="D831" s="23" t="inlineStr">
        <is>
          <t>CNS</t>
        </is>
      </c>
      <c r="E831" s="22" t="inlineStr">
        <is>
          <t>Ecrit étendue = 22</t>
        </is>
      </c>
      <c r="F831" s="22" t="inlineStr">
        <is>
          <t>La définition de l'étendue (plus grande moins plus petite valeur) n'est pas disponible : seul le maximum est donné.</t>
        </is>
      </c>
    </row>
    <row r="832">
      <c r="A832" s="20" t="inlineStr">
        <is>
          <t>1ereD</t>
        </is>
      </c>
      <c r="B832" s="21" t="inlineStr">
        <is>
          <t>P2.1</t>
        </is>
      </c>
      <c r="C832" s="20" t="inlineStr">
        <is>
          <t>D.STAT2</t>
        </is>
      </c>
      <c r="D832" s="21" t="inlineStr">
        <is>
          <t>RED</t>
        </is>
      </c>
      <c r="E832" s="20" t="inlineStr">
        <is>
          <t>Ecrit médiane = 14 sans série ordonnée</t>
        </is>
      </c>
      <c r="F832" s="20" t="inlineStr">
        <is>
          <t>La valeur est juste mais le rangement qui la justifie n'est pas écrit.</t>
        </is>
      </c>
    </row>
    <row r="833">
      <c r="A833" s="22" t="inlineStr">
        <is>
          <t>1ereD</t>
        </is>
      </c>
      <c r="B833" s="23" t="inlineStr">
        <is>
          <t>P2.2</t>
        </is>
      </c>
      <c r="C833" s="22" t="inlineStr">
        <is>
          <t>N.INT</t>
        </is>
      </c>
      <c r="D833" s="23" t="inlineStr">
        <is>
          <t>MOD</t>
        </is>
      </c>
      <c r="E833" s="22" t="inlineStr">
        <is>
          <t>Ecrit 145/9 ≤ m ≤ 155/9</t>
        </is>
      </c>
      <c r="F833" s="22" t="inlineStr">
        <is>
          <t>Le total des dix jours est divisé par 9 : le nombre de jours n'est pas mis à jour dans la traduction de l'énoncé.</t>
        </is>
      </c>
    </row>
    <row r="834">
      <c r="A834" s="20" t="inlineStr">
        <is>
          <t>1ereD</t>
        </is>
      </c>
      <c r="B834" s="21" t="inlineStr">
        <is>
          <t>P2.2</t>
        </is>
      </c>
      <c r="C834" s="20" t="inlineStr">
        <is>
          <t>N.INT</t>
        </is>
      </c>
      <c r="D834" s="21" t="inlineStr">
        <is>
          <t>PRC</t>
        </is>
      </c>
      <c r="E834" s="20" t="inlineStr">
        <is>
          <t>Ecrit 1 ≤ m ≤ 2</t>
        </is>
      </c>
      <c r="F834" s="20" t="inlineStr">
        <is>
          <t>Seul l'encadrement 10 ≤ n ≤ 20 est divisé par 10 : l'ajout du total 135 est omis.</t>
        </is>
      </c>
    </row>
    <row r="835">
      <c r="A835" s="22" t="inlineStr">
        <is>
          <t>1ereD</t>
        </is>
      </c>
      <c r="B835" s="23" t="inlineStr">
        <is>
          <t>P2.2</t>
        </is>
      </c>
      <c r="C835" s="22" t="inlineStr">
        <is>
          <t>D.STAT2</t>
        </is>
      </c>
      <c r="D835" s="23" t="inlineStr">
        <is>
          <t>CPT</t>
        </is>
      </c>
      <c r="E835" s="22" t="inlineStr">
        <is>
          <t>Ecrit 12,5 ≤ m ≤ 17,5</t>
        </is>
      </c>
      <c r="F835" s="22" t="inlineStr">
        <is>
          <t>La moyenne des dix jours est prise comme la moyenne de 15 et de n : moyenne des moyennes, sans pondération.</t>
        </is>
      </c>
    </row>
    <row r="836">
      <c r="A836" s="20" t="inlineStr">
        <is>
          <t>1ereD</t>
        </is>
      </c>
      <c r="B836" s="21" t="inlineStr">
        <is>
          <t>P2.2</t>
        </is>
      </c>
      <c r="C836" s="20" t="inlineStr">
        <is>
          <t>N.INT</t>
        </is>
      </c>
      <c r="D836" s="21" t="inlineStr">
        <is>
          <t>RED</t>
        </is>
      </c>
      <c r="E836" s="20" t="inlineStr">
        <is>
          <t>Ecrit 14,5 ≤ m ≤ 15,5 sans encadrer le total</t>
        </is>
      </c>
      <c r="F836" s="20" t="inlineStr">
        <is>
          <t>L'encadrement final est juste mais l'encadrement 145 ≤ 135 + n ≤ 155 et la division n'apparaissent pas.</t>
        </is>
      </c>
    </row>
    <row r="837">
      <c r="A837" s="22" t="inlineStr">
        <is>
          <t>1ereD</t>
        </is>
      </c>
      <c r="B837" s="23" t="inlineStr">
        <is>
          <t>P2.3</t>
        </is>
      </c>
      <c r="C837" s="22" t="inlineStr">
        <is>
          <t>D.STAT2</t>
        </is>
      </c>
      <c r="D837" s="23" t="inlineStr">
        <is>
          <t>MOD</t>
        </is>
      </c>
      <c r="E837" s="22" t="inlineStr">
        <is>
          <t>Ecrit « 4 jours sur 9, affirmation fausse »</t>
        </is>
      </c>
      <c r="F837" s="22" t="inlineStr">
        <is>
          <t>« Au moins 14 » est traduit par « plus de 14 » : le jour à 14 pintades est exclu.</t>
        </is>
      </c>
    </row>
    <row r="838">
      <c r="A838" s="20" t="inlineStr">
        <is>
          <t>1ereD</t>
        </is>
      </c>
      <c r="B838" s="21" t="inlineStr">
        <is>
          <t>P2.3</t>
        </is>
      </c>
      <c r="C838" s="20" t="inlineStr">
        <is>
          <t>D.STAT2</t>
        </is>
      </c>
      <c r="D838" s="21" t="inlineStr">
        <is>
          <t>CPT</t>
        </is>
      </c>
      <c r="E838" s="20" t="inlineStr">
        <is>
          <t>Ecrit « médiane 14, donc la moitié des jours seulement : fausse »</t>
        </is>
      </c>
      <c r="F838" s="20" t="inlineStr">
        <is>
          <t>La médiane est crue partager la série en deux moitiés exactes, alors que 5 valeurs sur 9 atteignent 14.</t>
        </is>
      </c>
    </row>
    <row r="839">
      <c r="A839" s="22" t="inlineStr">
        <is>
          <t>1ereD</t>
        </is>
      </c>
      <c r="B839" s="23" t="inlineStr">
        <is>
          <t>P2.3</t>
        </is>
      </c>
      <c r="C839" s="22" t="inlineStr">
        <is>
          <t>D.STAT2</t>
        </is>
      </c>
      <c r="D839" s="23" t="inlineStr">
        <is>
          <t>RED</t>
        </is>
      </c>
      <c r="E839" s="22" t="inlineStr">
        <is>
          <t>Ecrit « vraie » sans dénombrer les jours ni comparer à 4,5</t>
        </is>
      </c>
      <c r="F839" s="22" t="inlineStr">
        <is>
          <t>La conclusion est juste mais n'est appuyée sur aucun dénombrement.</t>
        </is>
      </c>
    </row>
    <row r="840">
      <c r="A840" s="20" t="inlineStr">
        <is>
          <t>1ereD</t>
        </is>
      </c>
      <c r="B840" s="21" t="inlineStr">
        <is>
          <t>P3.1</t>
        </is>
      </c>
      <c r="C840" s="20" t="inlineStr">
        <is>
          <t>G.PLAN</t>
        </is>
      </c>
      <c r="D840" s="21" t="inlineStr">
        <is>
          <t>PRC</t>
        </is>
      </c>
      <c r="E840" s="20" t="inlineStr">
        <is>
          <t>Ecrit BA = √(16 - 9) = √7</t>
        </is>
      </c>
      <c r="F840" s="20" t="inlineStr">
        <is>
          <t>La formule de distance est la bonne mais (-3)² est calculé -9.</t>
        </is>
      </c>
    </row>
    <row r="841">
      <c r="A841" s="22" t="inlineStr">
        <is>
          <t>1ereD</t>
        </is>
      </c>
      <c r="B841" s="23" t="inlineStr">
        <is>
          <t>P3.1</t>
        </is>
      </c>
      <c r="C841" s="22" t="inlineStr">
        <is>
          <t>G.PLAN</t>
        </is>
      </c>
      <c r="D841" s="23" t="inlineStr">
        <is>
          <t>CPT</t>
        </is>
      </c>
      <c r="E841" s="22" t="inlineStr">
        <is>
          <t>Ecrit BA = 4 + 3 = 7</t>
        </is>
      </c>
      <c r="F841" s="22" t="inlineStr">
        <is>
          <t>La longueur est prise pour la somme des écarts de coordonnées : la norme n'est pas comprise.</t>
        </is>
      </c>
    </row>
    <row r="842">
      <c r="A842" s="20" t="inlineStr">
        <is>
          <t>1ereD</t>
        </is>
      </c>
      <c r="B842" s="21" t="inlineStr">
        <is>
          <t>P3.1</t>
        </is>
      </c>
      <c r="C842" s="20" t="inlineStr">
        <is>
          <t>G.PLAN</t>
        </is>
      </c>
      <c r="D842" s="21" t="inlineStr">
        <is>
          <t>MOD</t>
        </is>
      </c>
      <c r="E842" s="20" t="inlineStr">
        <is>
          <t>Ecrit BA = BC = 5 m</t>
        </is>
      </c>
      <c r="F842" s="20" t="inlineStr">
        <is>
          <t>L'échelle du plan (une unité pour 10 m) n'est pas exploitée : la longueur dans le repère est donnée comme longueur du terrain.</t>
        </is>
      </c>
    </row>
    <row r="843">
      <c r="A843" s="22" t="inlineStr">
        <is>
          <t>1ereD</t>
        </is>
      </c>
      <c r="B843" s="23" t="inlineStr">
        <is>
          <t>P3.1</t>
        </is>
      </c>
      <c r="C843" s="22" t="inlineStr">
        <is>
          <t>G.PS</t>
        </is>
      </c>
      <c r="D843" s="23" t="inlineStr">
        <is>
          <t>PRQ</t>
        </is>
      </c>
      <c r="E843" s="22" t="inlineStr">
        <is>
          <t>Ecrit BA · BC = -12 - 12 = -24</t>
        </is>
      </c>
      <c r="F843" s="22" t="inlineStr">
        <is>
          <t>(-3) × (-4) est pris égal à -12 : la règle des signes du produit (classe de 4ème) n'est pas sûre.</t>
        </is>
      </c>
    </row>
    <row r="844">
      <c r="A844" s="20" t="inlineStr">
        <is>
          <t>1ereD</t>
        </is>
      </c>
      <c r="B844" s="21" t="inlineStr">
        <is>
          <t>P3.2</t>
        </is>
      </c>
      <c r="C844" s="20" t="inlineStr">
        <is>
          <t>G.HOM</t>
        </is>
      </c>
      <c r="D844" s="21" t="inlineStr">
        <is>
          <t>PRC</t>
        </is>
      </c>
      <c r="E844" s="20" t="inlineStr">
        <is>
          <t>Ecrit D(-2 ; 6)</t>
        </is>
      </c>
      <c r="F844" s="20" t="inlineStr">
        <is>
          <t>Le vecteur BC(3 ; -4) est retranché au lieu d'être ajouté : le sens de la translation est inversé dans le calcul.</t>
        </is>
      </c>
    </row>
    <row r="845">
      <c r="A845" s="22" t="inlineStr">
        <is>
          <t>1ereD</t>
        </is>
      </c>
      <c r="B845" s="23" t="inlineStr">
        <is>
          <t>P3.2</t>
        </is>
      </c>
      <c r="C845" s="22" t="inlineStr">
        <is>
          <t>G.HOM</t>
        </is>
      </c>
      <c r="D845" s="23" t="inlineStr">
        <is>
          <t>ATT</t>
        </is>
      </c>
      <c r="E845" s="22" t="inlineStr">
        <is>
          <t>Ecrit D(8 ; 1)</t>
        </is>
      </c>
      <c r="F845" s="22" t="inlineStr">
        <is>
          <t>L'image de B est donnée à la place de celle de A : confusion ponctuelle de point.</t>
        </is>
      </c>
    </row>
    <row r="846">
      <c r="A846" s="20" t="inlineStr">
        <is>
          <t>1ereD</t>
        </is>
      </c>
      <c r="B846" s="21" t="inlineStr">
        <is>
          <t>P3.2</t>
        </is>
      </c>
      <c r="C846" s="20" t="inlineStr">
        <is>
          <t>G.PS</t>
        </is>
      </c>
      <c r="D846" s="21" t="inlineStr">
        <is>
          <t>CNS</t>
        </is>
      </c>
      <c r="E846" s="20" t="inlineStr">
        <is>
          <t>Ecrit « ABC est isocèle en B » sans angle droit</t>
        </is>
      </c>
      <c r="F846" s="20" t="inlineStr">
        <is>
          <t>Le critère « produit scalaire nul donc angle droit » n'est pas mobilisé alors que la donnée est fournie.</t>
        </is>
      </c>
    </row>
    <row r="847">
      <c r="A847" s="22" t="inlineStr">
        <is>
          <t>1ereD</t>
        </is>
      </c>
      <c r="B847" s="23" t="inlineStr">
        <is>
          <t>P3.2</t>
        </is>
      </c>
      <c r="C847" s="22" t="inlineStr">
        <is>
          <t>G.PS</t>
        </is>
      </c>
      <c r="D847" s="23" t="inlineStr">
        <is>
          <t>RED</t>
        </is>
      </c>
      <c r="E847" s="22" t="inlineStr">
        <is>
          <t>Ecrit « rectangle isocèle en B » sans citer le produit scalaire nul</t>
        </is>
      </c>
      <c r="F847" s="22" t="inlineStr">
        <is>
          <t>La nature est juste mais l'angle droit n'est appuyé sur aucune propriété.</t>
        </is>
      </c>
    </row>
    <row r="848">
      <c r="A848" s="20" t="inlineStr">
        <is>
          <t>1ereD</t>
        </is>
      </c>
      <c r="B848" s="21" t="inlineStr">
        <is>
          <t>P3.3</t>
        </is>
      </c>
      <c r="C848" s="20" t="inlineStr">
        <is>
          <t>N.INT</t>
        </is>
      </c>
      <c r="D848" s="21" t="inlineStr">
        <is>
          <t>MOD</t>
        </is>
      </c>
      <c r="E848" s="20" t="inlineStr">
        <is>
          <t>Ecrit P = 4 × 50 = 200 m</t>
        </is>
      </c>
      <c r="F848" s="20" t="inlineStr">
        <is>
          <t>L'incertitude de mesure du côté n'est pas prise en compte : la situation n'est pas traduite par un encadrement.</t>
        </is>
      </c>
    </row>
    <row r="849">
      <c r="A849" s="22" t="inlineStr">
        <is>
          <t>1ereD</t>
        </is>
      </c>
      <c r="B849" s="23" t="inlineStr">
        <is>
          <t>P3.3</t>
        </is>
      </c>
      <c r="C849" s="22" t="inlineStr">
        <is>
          <t>N.INT</t>
        </is>
      </c>
      <c r="D849" s="23" t="inlineStr">
        <is>
          <t>CPT</t>
        </is>
      </c>
      <c r="E849" s="22" t="inlineStr">
        <is>
          <t>Ecrit 196 ≤ P ≤ 204 puis « 190 n'est pas dans l'encadrement, on ne peut pas conclure »</t>
        </is>
      </c>
      <c r="F849" s="22" t="inlineStr">
        <is>
          <t>L'élève croit qu'un encadrement ne permet de décider que si la valeur comparée est entre les bornes : la comparaison aux bornes pour conclure n'est pas comprise.</t>
        </is>
      </c>
    </row>
    <row r="850">
      <c r="A850" s="20" t="inlineStr">
        <is>
          <t>1ereD</t>
        </is>
      </c>
      <c r="B850" s="21" t="inlineStr">
        <is>
          <t>P3.3</t>
        </is>
      </c>
      <c r="C850" s="20" t="inlineStr">
        <is>
          <t>N.INT</t>
        </is>
      </c>
      <c r="D850" s="21" t="inlineStr">
        <is>
          <t>PRQ</t>
        </is>
      </c>
      <c r="E850" s="20" t="inlineStr">
        <is>
          <t>Ecrit 98 ≤ P ≤ 102 puis « le grillage suffit »</t>
        </is>
      </c>
      <c r="F850" s="20" t="inlineStr">
        <is>
          <t>Le périmètre d'un carré (classe de 6ème) est pris égal à deux côtés : 2 × 49 et 2 × 51.</t>
        </is>
      </c>
    </row>
    <row r="851">
      <c r="A851" s="22" t="inlineStr">
        <is>
          <t>1ereD</t>
        </is>
      </c>
      <c r="B851" s="23" t="inlineStr">
        <is>
          <t>P3.3</t>
        </is>
      </c>
      <c r="C851" s="22" t="inlineStr">
        <is>
          <t>N.INT</t>
        </is>
      </c>
      <c r="D851" s="23" t="inlineStr">
        <is>
          <t>PRC</t>
        </is>
      </c>
      <c r="E851" s="22" t="inlineStr">
        <is>
          <t>Ecrit 186 ≤ P ≤ 204</t>
        </is>
      </c>
      <c r="F851" s="22" t="inlineStr">
        <is>
          <t>La multiplication des bornes par 4 est la bonne méthode mais 4 × 49 est calculé 186 au lieu de 196.</t>
        </is>
      </c>
    </row>
    <row r="852">
      <c r="A852" s="20" t="inlineStr">
        <is>
          <t>1ereD</t>
        </is>
      </c>
      <c r="B852" s="21" t="inlineStr">
        <is>
          <t>P3.3</t>
        </is>
      </c>
      <c r="C852" s="20" t="inlineStr">
        <is>
          <t>N.INT</t>
        </is>
      </c>
      <c r="D852" s="21" t="inlineStr">
        <is>
          <t>RED</t>
        </is>
      </c>
      <c r="E852" s="20" t="inlineStr">
        <is>
          <t>Ecrit 196 ≤ P ≤ 204 et 190 &lt; 196 sans phrase de conclusion</t>
        </is>
      </c>
      <c r="F852" s="20" t="inlineStr">
        <is>
          <t>Les calculs sont justes mais la décision demandée n'est pas formulée.</t>
        </is>
      </c>
    </row>
    <row r="853">
      <c r="A853" s="22" t="inlineStr">
        <is>
          <t>1ereD</t>
        </is>
      </c>
      <c r="B853" s="23" t="inlineStr">
        <is>
          <t>P4.1</t>
        </is>
      </c>
      <c r="C853" s="22" t="inlineStr">
        <is>
          <t>N.RAC</t>
        </is>
      </c>
      <c r="D853" s="23" t="inlineStr">
        <is>
          <t>PRQ</t>
        </is>
      </c>
      <c r="E853" s="22" t="inlineStr">
        <is>
          <t>Ecrit AC = 3 + 3 = 6 m</t>
        </is>
      </c>
      <c r="F853" s="22" t="inlineStr">
        <is>
          <t>Le théorème de Pythagore (classe de 4ème) n'est pas mobilisé : la diagonale est prise pour la somme des côtés.</t>
        </is>
      </c>
    </row>
    <row r="854">
      <c r="A854" s="20" t="inlineStr">
        <is>
          <t>1ereD</t>
        </is>
      </c>
      <c r="B854" s="21" t="inlineStr">
        <is>
          <t>P4.1</t>
        </is>
      </c>
      <c r="C854" s="20" t="inlineStr">
        <is>
          <t>N.RAC</t>
        </is>
      </c>
      <c r="D854" s="21" t="inlineStr">
        <is>
          <t>PRC</t>
        </is>
      </c>
      <c r="E854" s="20" t="inlineStr">
        <is>
          <t>Ecrit AC² = 18 puis AC = 9√2</t>
        </is>
      </c>
      <c r="F854" s="20" t="inlineStr">
        <is>
          <t>La décomposition 18 = 9 × 2 est juste mais 9 sort sans sa racine.</t>
        </is>
      </c>
    </row>
    <row r="855">
      <c r="A855" s="22" t="inlineStr">
        <is>
          <t>1ereD</t>
        </is>
      </c>
      <c r="B855" s="23" t="inlineStr">
        <is>
          <t>P4.1</t>
        </is>
      </c>
      <c r="C855" s="22" t="inlineStr">
        <is>
          <t>N.RAC</t>
        </is>
      </c>
      <c r="D855" s="23" t="inlineStr">
        <is>
          <t>CPT</t>
        </is>
      </c>
      <c r="E855" s="22" t="inlineStr">
        <is>
          <t>Ecrit AC = √18 = 9</t>
        </is>
      </c>
      <c r="F855" s="22" t="inlineStr">
        <is>
          <t>La racine carrée est confondue avec la moitié : √18 est pris égal à 18/2.</t>
        </is>
      </c>
    </row>
    <row r="856">
      <c r="A856" s="20" t="inlineStr">
        <is>
          <t>1ereD</t>
        </is>
      </c>
      <c r="B856" s="21" t="inlineStr">
        <is>
          <t>P4.1</t>
        </is>
      </c>
      <c r="C856" s="20" t="inlineStr">
        <is>
          <t>N.RAC</t>
        </is>
      </c>
      <c r="D856" s="21" t="inlineStr">
        <is>
          <t>MOD</t>
        </is>
      </c>
      <c r="E856" s="20" t="inlineStr">
        <is>
          <t>Ecrit AC² = 3² + 4² = 25 donc AC = 5 m</t>
        </is>
      </c>
      <c r="F856" s="20" t="inlineStr">
        <is>
          <t>La hauteur 4 m est utilisée : la diagonale de la base est confondue avec celle d'une face latérale du grenier.</t>
        </is>
      </c>
    </row>
    <row r="857">
      <c r="A857" s="22" t="inlineStr">
        <is>
          <t>1ereD</t>
        </is>
      </c>
      <c r="B857" s="23" t="inlineStr">
        <is>
          <t>P4.2</t>
        </is>
      </c>
      <c r="C857" s="22" t="inlineStr">
        <is>
          <t>G.ESP</t>
        </is>
      </c>
      <c r="D857" s="23" t="inlineStr">
        <is>
          <t>CPT</t>
        </is>
      </c>
      <c r="E857" s="22" t="inlineStr">
        <is>
          <t>Ecrit « (AB) et (CG) sont orthogonales » seulement</t>
        </is>
      </c>
      <c r="F857" s="22" t="inlineStr">
        <is>
          <t>L'orthogonalité est prise pour une position relative : deux droites orthogonales de l'espace peuvent être sécantes ou non.</t>
        </is>
      </c>
    </row>
    <row r="858">
      <c r="A858" s="20" t="inlineStr">
        <is>
          <t>1ereD</t>
        </is>
      </c>
      <c r="B858" s="21" t="inlineStr">
        <is>
          <t>P4.2</t>
        </is>
      </c>
      <c r="C858" s="20" t="inlineStr">
        <is>
          <t>G.ESP</t>
        </is>
      </c>
      <c r="D858" s="21" t="inlineStr">
        <is>
          <t>CNS</t>
        </is>
      </c>
      <c r="E858" s="20" t="inlineStr">
        <is>
          <t>Ecrit « (AB) et (CG) sont sécantes en C »</t>
        </is>
      </c>
      <c r="F858" s="20" t="inlineStr">
        <is>
          <t>Le point C n'est pas sur (AB) : les positions relatives de deux droites de l'espace ne sont pas disponibles.</t>
        </is>
      </c>
    </row>
    <row r="859">
      <c r="A859" s="22" t="inlineStr">
        <is>
          <t>1ereD</t>
        </is>
      </c>
      <c r="B859" s="23" t="inlineStr">
        <is>
          <t>P4.2</t>
        </is>
      </c>
      <c r="C859" s="22" t="inlineStr">
        <is>
          <t>G.PLAN</t>
        </is>
      </c>
      <c r="D859" s="23" t="inlineStr">
        <is>
          <t>MOD</t>
        </is>
      </c>
      <c r="E859" s="22" t="inlineStr">
        <is>
          <t>Ecrit AG² = 3² + 4² = 25 donc AG = 5 m</t>
        </is>
      </c>
      <c r="F859" s="22" t="inlineStr">
        <is>
          <t>Le côté 3 m remplace la diagonale AC : le triangle rectangle ACG n'est pas reconnu dans le grenier.</t>
        </is>
      </c>
    </row>
    <row r="860">
      <c r="A860" s="20" t="inlineStr">
        <is>
          <t>1ereD</t>
        </is>
      </c>
      <c r="B860" s="21" t="inlineStr">
        <is>
          <t>P4.2</t>
        </is>
      </c>
      <c r="C860" s="20" t="inlineStr">
        <is>
          <t>G.PLAN</t>
        </is>
      </c>
      <c r="D860" s="21" t="inlineStr">
        <is>
          <t>PRC</t>
        </is>
      </c>
      <c r="E860" s="20" t="inlineStr">
        <is>
          <t>Ecrit AG² = 18 + 4 = 22 donc AG = √22 m</t>
        </is>
      </c>
      <c r="F860" s="20" t="inlineStr">
        <is>
          <t>Pythagore est bien choisi dans ACG mais CG n'est pas élevé au carré.</t>
        </is>
      </c>
    </row>
    <row r="861">
      <c r="A861" s="22" t="inlineStr">
        <is>
          <t>1ereD</t>
        </is>
      </c>
      <c r="B861" s="23" t="inlineStr">
        <is>
          <t>P4.2</t>
        </is>
      </c>
      <c r="C861" s="22" t="inlineStr">
        <is>
          <t>G.ESP</t>
        </is>
      </c>
      <c r="D861" s="23" t="inlineStr">
        <is>
          <t>RED</t>
        </is>
      </c>
      <c r="E861" s="22" t="inlineStr">
        <is>
          <t>Ecrit AG² = AC² + CG² sans situer l'angle droit en C</t>
        </is>
      </c>
      <c r="F861" s="22" t="inlineStr">
        <is>
          <t>Le calcul est juste mais la perpendicularité de [CG] au plan de base n'est pas invoquée.</t>
        </is>
      </c>
    </row>
    <row r="862">
      <c r="A862" s="20" t="inlineStr">
        <is>
          <t>1ereD</t>
        </is>
      </c>
      <c r="B862" s="21" t="inlineStr">
        <is>
          <t>P4.3</t>
        </is>
      </c>
      <c r="C862" s="20" t="inlineStr">
        <is>
          <t>N.RAC</t>
        </is>
      </c>
      <c r="D862" s="21" t="inlineStr">
        <is>
          <t>CPT</t>
        </is>
      </c>
      <c r="E862" s="20" t="inlineStr">
        <is>
          <t>Ecrit « 5,80 &lt; 34 donc possible »</t>
        </is>
      </c>
      <c r="F862" s="20" t="inlineStr">
        <is>
          <t>Une longueur est comparée au carré d'une autre : l'élève ne voit pas qu'il faut comparer des grandeurs de même nature.</t>
        </is>
      </c>
    </row>
    <row r="863">
      <c r="A863" s="22" t="inlineStr">
        <is>
          <t>1ereD</t>
        </is>
      </c>
      <c r="B863" s="23" t="inlineStr">
        <is>
          <t>P4.3</t>
        </is>
      </c>
      <c r="C863" s="22" t="inlineStr">
        <is>
          <t>G.ESP</t>
        </is>
      </c>
      <c r="D863" s="23" t="inlineStr">
        <is>
          <t>MOD</t>
        </is>
      </c>
      <c r="E863" s="22" t="inlineStr">
        <is>
          <t>Ecrit « 5,80 &gt; 4, la perche ne tient pas »</t>
        </is>
      </c>
      <c r="F863" s="22" t="inlineStr">
        <is>
          <t>La perche est comparée à la hauteur : la grande diagonale n'est pas identifiée comme la plus grande longueur rangeable.</t>
        </is>
      </c>
    </row>
    <row r="864">
      <c r="A864" s="20" t="inlineStr">
        <is>
          <t>1ereD</t>
        </is>
      </c>
      <c r="B864" s="21" t="inlineStr">
        <is>
          <t>P4.3</t>
        </is>
      </c>
      <c r="C864" s="20" t="inlineStr">
        <is>
          <t>N.RAC</t>
        </is>
      </c>
      <c r="D864" s="21" t="inlineStr">
        <is>
          <t>PRC</t>
        </is>
      </c>
      <c r="E864" s="20" t="inlineStr">
        <is>
          <t>Ecrit √34 ≈ 5,5 donc « impossible »</t>
        </is>
      </c>
      <c r="F864" s="20" t="inlineStr">
        <is>
          <t>L'estimation de √34 est fausse (5,5² = 30,25 &lt; 34) : la racine est mal encadrée.</t>
        </is>
      </c>
    </row>
    <row r="865">
      <c r="A865" s="22" t="inlineStr">
        <is>
          <t>1ereD</t>
        </is>
      </c>
      <c r="B865" s="23" t="inlineStr">
        <is>
          <t>P4.3</t>
        </is>
      </c>
      <c r="C865" s="22" t="inlineStr">
        <is>
          <t>N.RAC</t>
        </is>
      </c>
      <c r="D865" s="23" t="inlineStr">
        <is>
          <t>ATT</t>
        </is>
      </c>
      <c r="E865" s="22" t="inlineStr">
        <is>
          <t>Ecrit 33,64 &gt; 34 et « impossible »</t>
        </is>
      </c>
      <c r="F865" s="22" t="inlineStr">
        <is>
          <t>Les deux nombres à comparer sont les bons mais l'ordre est inversé : erreur ponctuelle de comparaison.</t>
        </is>
      </c>
    </row>
    <row r="866">
      <c r="A866" s="20" t="inlineStr">
        <is>
          <t>1ereD</t>
        </is>
      </c>
      <c r="B866" s="21" t="inlineStr">
        <is>
          <t>P4.3</t>
        </is>
      </c>
      <c r="C866" s="20" t="inlineStr">
        <is>
          <t>N.RAC</t>
        </is>
      </c>
      <c r="D866" s="21" t="inlineStr">
        <is>
          <t>RED</t>
        </is>
      </c>
      <c r="E866" s="20" t="inlineStr">
        <is>
          <t>Ecrit 33,64 &lt; 34 sans phrase de conclusion</t>
        </is>
      </c>
      <c r="F866" s="20" t="inlineStr">
        <is>
          <t>La comparaison est juste mais la décision demandée n'est pas formulée.</t>
        </is>
      </c>
    </row>
    <row r="867">
      <c r="A867" s="22" t="inlineStr">
        <is>
          <t>tleD</t>
        </is>
      </c>
      <c r="B867" s="23" t="inlineStr">
        <is>
          <t>N1</t>
        </is>
      </c>
      <c r="C867" s="22" t="inlineStr">
        <is>
          <t>N.RAC</t>
        </is>
      </c>
      <c r="D867" s="23" t="inlineStr">
        <is>
          <t>CPT</t>
        </is>
      </c>
      <c r="E867" s="22" t="inlineStr">
        <is>
          <t>Ecrit 4 (√(50 - 18)/√2 = √32/√2 = √16)</t>
        </is>
      </c>
      <c r="F867" s="22" t="inlineStr">
        <is>
          <t>L'élève croit que √50 - √18 = √(50 - 18) : la racine est distribuée sur une différence, règle fausse et systématique.</t>
        </is>
      </c>
    </row>
    <row r="868">
      <c r="A868" s="20" t="inlineStr">
        <is>
          <t>tleD</t>
        </is>
      </c>
      <c r="B868" s="21" t="inlineStr">
        <is>
          <t>N1</t>
        </is>
      </c>
      <c r="C868" s="20" t="inlineStr">
        <is>
          <t>N.RAC</t>
        </is>
      </c>
      <c r="D868" s="21" t="inlineStr">
        <is>
          <t>PRC</t>
        </is>
      </c>
      <c r="E868" s="20" t="inlineStr">
        <is>
          <t>Ecrit -4 ((5√2 - 9√2)/√2)</t>
        </is>
      </c>
      <c r="F868" s="20" t="inlineStr">
        <is>
          <t>La simplification est tentée mais √18 est écrit 9√2 : le facteur carré 9 sort sans sa racine.</t>
        </is>
      </c>
    </row>
    <row r="869">
      <c r="A869" s="22" t="inlineStr">
        <is>
          <t>tleD</t>
        </is>
      </c>
      <c r="B869" s="23" t="inlineStr">
        <is>
          <t>N1</t>
        </is>
      </c>
      <c r="C869" s="22" t="inlineStr">
        <is>
          <t>N.RAC</t>
        </is>
      </c>
      <c r="D869" s="23" t="inlineStr">
        <is>
          <t>ATT</t>
        </is>
      </c>
      <c r="E869" s="22" t="inlineStr">
        <is>
          <t>Ecrit 2√2</t>
        </is>
      </c>
      <c r="F869" s="22" t="inlineStr">
        <is>
          <t>Le numérateur 5√2 - 3√2 = 2√2 est juste mais la division par √2 est oubliée.</t>
        </is>
      </c>
    </row>
    <row r="870">
      <c r="A870" s="20" t="inlineStr">
        <is>
          <t>tleD</t>
        </is>
      </c>
      <c r="B870" s="21" t="inlineStr">
        <is>
          <t>L1</t>
        </is>
      </c>
      <c r="C870" s="20" t="inlineStr">
        <is>
          <t>L.POLY</t>
        </is>
      </c>
      <c r="D870" s="21" t="inlineStr">
        <is>
          <t>PRC</t>
        </is>
      </c>
      <c r="E870" s="20" t="inlineStr">
        <is>
          <t>Ecrit b = -3</t>
        </is>
      </c>
      <c r="F870" s="20" t="inlineStr">
        <is>
          <t>L'identification 1 + b = -4 est bien posée mais résolue en b = -4 + 1 : erreur de transposition.</t>
        </is>
      </c>
    </row>
    <row r="871">
      <c r="A871" s="22" t="inlineStr">
        <is>
          <t>tleD</t>
        </is>
      </c>
      <c r="B871" s="23" t="inlineStr">
        <is>
          <t>L1</t>
        </is>
      </c>
      <c r="C871" s="22" t="inlineStr">
        <is>
          <t>L.POLY</t>
        </is>
      </c>
      <c r="D871" s="23" t="inlineStr">
        <is>
          <t>PRQ</t>
        </is>
      </c>
      <c r="E871" s="22" t="inlineStr">
        <is>
          <t>Ecrit b = -4</t>
        </is>
      </c>
      <c r="F871" s="22" t="inlineStr">
        <is>
          <t>En développant (x + 1)(x² + bx + 6), le produit 1 × x² est oublié : le coefficient de x² devient b ; acquis en cause : la double distributivité (3e).</t>
        </is>
      </c>
    </row>
    <row r="872">
      <c r="A872" s="20" t="inlineStr">
        <is>
          <t>tleD</t>
        </is>
      </c>
      <c r="B872" s="21" t="inlineStr">
        <is>
          <t>L1</t>
        </is>
      </c>
      <c r="C872" s="20" t="inlineStr">
        <is>
          <t>L.POLY</t>
        </is>
      </c>
      <c r="D872" s="21" t="inlineStr">
        <is>
          <t>CNS</t>
        </is>
      </c>
      <c r="E872" s="20" t="inlineStr">
        <is>
          <t>Laisse le cadre vide ou recopie un coefficient de P sans calcul</t>
        </is>
      </c>
      <c r="F872" s="20" t="inlineStr">
        <is>
          <t>La méthode d'identification des coefficients par développement n'est pas disponible.</t>
        </is>
      </c>
    </row>
    <row r="873">
      <c r="A873" s="22" t="inlineStr">
        <is>
          <t>tleD</t>
        </is>
      </c>
      <c r="B873" s="23" t="inlineStr">
        <is>
          <t>L2</t>
        </is>
      </c>
      <c r="C873" s="22" t="inlineStr">
        <is>
          <t>L.INEQ2</t>
        </is>
      </c>
      <c r="D873" s="23" t="inlineStr">
        <is>
          <t>CPT</t>
        </is>
      </c>
      <c r="E873" s="22" t="inlineStr">
        <is>
          <t>Entoure a) ]-∞ ; 1[ ∪ ]3 ; +∞[</t>
        </is>
      </c>
      <c r="F873" s="22" t="inlineStr">
        <is>
          <t>La règle « positif à l'extérieur des racines » est appliquée sans regarder le signe du coefficient de x².</t>
        </is>
      </c>
    </row>
    <row r="874">
      <c r="A874" s="20" t="inlineStr">
        <is>
          <t>tleD</t>
        </is>
      </c>
      <c r="B874" s="21" t="inlineStr">
        <is>
          <t>L2</t>
        </is>
      </c>
      <c r="C874" s="20" t="inlineStr">
        <is>
          <t>L.INEQ2</t>
        </is>
      </c>
      <c r="D874" s="21" t="inlineStr">
        <is>
          <t>PRC</t>
        </is>
      </c>
      <c r="E874" s="20" t="inlineStr">
        <is>
          <t>Entoure b) [1 ; 3]</t>
        </is>
      </c>
      <c r="F874" s="20" t="inlineStr">
        <is>
          <t>Le signe est bien étudié mais les bornes sont incluses dans une inégalité stricte.</t>
        </is>
      </c>
    </row>
    <row r="875">
      <c r="A875" s="22" t="inlineStr">
        <is>
          <t>tleD</t>
        </is>
      </c>
      <c r="B875" s="23" t="inlineStr">
        <is>
          <t>L2</t>
        </is>
      </c>
      <c r="C875" s="22" t="inlineStr">
        <is>
          <t>L.EQ2</t>
        </is>
      </c>
      <c r="D875" s="23" t="inlineStr">
        <is>
          <t>PRC</t>
        </is>
      </c>
      <c r="E875" s="22" t="inlineStr">
        <is>
          <t>Entoure d) ]-3 ; -1[</t>
        </is>
      </c>
      <c r="F875" s="22" t="inlineStr">
        <is>
          <t>Les racines du trinôme sont trouvées avec le mauvais signe (-1 et -3 au lieu de 1 et 3).</t>
        </is>
      </c>
    </row>
    <row r="876">
      <c r="A876" s="20" t="inlineStr">
        <is>
          <t>tleD</t>
        </is>
      </c>
      <c r="B876" s="21" t="inlineStr">
        <is>
          <t>L3</t>
        </is>
      </c>
      <c r="C876" s="20" t="inlineStr">
        <is>
          <t>L.RATF</t>
        </is>
      </c>
      <c r="D876" s="21" t="inlineStr">
        <is>
          <t>CPT</t>
        </is>
      </c>
      <c r="E876" s="20" t="inlineStr">
        <is>
          <t>Ecrit S = {-1 ; 1 ; 3}</t>
        </is>
      </c>
      <c r="F876" s="20" t="inlineStr">
        <is>
          <t>La valeur interdite 3 est ajoutée aux solutions : annuler le numérateur et annuler le dénominateur sont confondus.</t>
        </is>
      </c>
    </row>
    <row r="877">
      <c r="A877" s="22" t="inlineStr">
        <is>
          <t>tleD</t>
        </is>
      </c>
      <c r="B877" s="23" t="inlineStr">
        <is>
          <t>L3</t>
        </is>
      </c>
      <c r="C877" s="22" t="inlineStr">
        <is>
          <t>L.RATF</t>
        </is>
      </c>
      <c r="D877" s="23" t="inlineStr">
        <is>
          <t>PRC</t>
        </is>
      </c>
      <c r="E877" s="22" t="inlineStr">
        <is>
          <t>Ecrit x = 1 seulement</t>
        </is>
      </c>
      <c r="F877" s="22" t="inlineStr">
        <is>
          <t>La condition numérateur nul est bien posée mais x² = 1 n'est résolu que par la solution positive.</t>
        </is>
      </c>
    </row>
    <row r="878">
      <c r="A878" s="20" t="inlineStr">
        <is>
          <t>tleD</t>
        </is>
      </c>
      <c r="B878" s="21" t="inlineStr">
        <is>
          <t>L3</t>
        </is>
      </c>
      <c r="C878" s="20" t="inlineStr">
        <is>
          <t>L.RATF</t>
        </is>
      </c>
      <c r="D878" s="21" t="inlineStr">
        <is>
          <t>PRQ</t>
        </is>
      </c>
      <c r="E878" s="20" t="inlineStr">
        <is>
          <t>Ecrit x = 1/2</t>
        </is>
      </c>
      <c r="F878" s="20" t="inlineStr">
        <is>
          <t>x² - 1 = 0 est traité comme 2x - 1 = 0 : acquis en cause, la résolution de x² = a et le sens de l'exposant (3e).</t>
        </is>
      </c>
    </row>
    <row r="879">
      <c r="A879" s="22" t="inlineStr">
        <is>
          <t>tleD</t>
        </is>
      </c>
      <c r="B879" s="23" t="inlineStr">
        <is>
          <t>F1</t>
        </is>
      </c>
      <c r="C879" s="22" t="inlineStr">
        <is>
          <t>F.DEF</t>
        </is>
      </c>
      <c r="D879" s="23" t="inlineStr">
        <is>
          <t>CNS</t>
        </is>
      </c>
      <c r="E879" s="22" t="inlineStr">
        <is>
          <t>Entoure b) [3 ; +∞[</t>
        </is>
      </c>
      <c r="F879" s="22" t="inlineStr">
        <is>
          <t>La condition « dénominateur non nul » n'est pas mobilisée en plus de celle du radical.</t>
        </is>
      </c>
    </row>
    <row r="880">
      <c r="A880" s="20" t="inlineStr">
        <is>
          <t>tleD</t>
        </is>
      </c>
      <c r="B880" s="21" t="inlineStr">
        <is>
          <t>F1</t>
        </is>
      </c>
      <c r="C880" s="20" t="inlineStr">
        <is>
          <t>F.DEF</t>
        </is>
      </c>
      <c r="D880" s="21" t="inlineStr">
        <is>
          <t>PRC</t>
        </is>
      </c>
      <c r="E880" s="20" t="inlineStr">
        <is>
          <t>Entoure c) ]-∞ ; 3[</t>
        </is>
      </c>
      <c r="F880" s="20" t="inlineStr">
        <is>
          <t>La condition x - 3 &gt; 0 est juste mais résolue avec le sens de l'inégalité inversé.</t>
        </is>
      </c>
    </row>
    <row r="881">
      <c r="A881" s="22" t="inlineStr">
        <is>
          <t>tleD</t>
        </is>
      </c>
      <c r="B881" s="23" t="inlineStr">
        <is>
          <t>F1</t>
        </is>
      </c>
      <c r="C881" s="22" t="inlineStr">
        <is>
          <t>F.DEF</t>
        </is>
      </c>
      <c r="D881" s="23" t="inlineStr">
        <is>
          <t>CPT</t>
        </is>
      </c>
      <c r="E881" s="22" t="inlineStr">
        <is>
          <t>Entoure d) ℝ privé de 3</t>
        </is>
      </c>
      <c r="F881" s="22" t="inlineStr">
        <is>
          <t>Le radical est ignoré : √(x - 3) est traité comme un dénominateur ordinaire x - 3.</t>
        </is>
      </c>
    </row>
    <row r="882">
      <c r="A882" s="20" t="inlineStr">
        <is>
          <t>tleD</t>
        </is>
      </c>
      <c r="B882" s="21" t="inlineStr">
        <is>
          <t>F2</t>
        </is>
      </c>
      <c r="C882" s="20" t="inlineStr">
        <is>
          <t>F.DER</t>
        </is>
      </c>
      <c r="D882" s="21" t="inlineStr">
        <is>
          <t>PRC</t>
        </is>
      </c>
      <c r="E882" s="20" t="inlineStr">
        <is>
          <t>Ecrit f'(x) = 6x² - 5/x²</t>
        </is>
      </c>
      <c r="F882" s="20" t="inlineStr">
        <is>
          <t>La dérivée de 1/x, -1/x², est connue mais le signe moins placé devant 5/x n'est pas combiné avec elle.</t>
        </is>
      </c>
    </row>
    <row r="883">
      <c r="A883" s="22" t="inlineStr">
        <is>
          <t>tleD</t>
        </is>
      </c>
      <c r="B883" s="23" t="inlineStr">
        <is>
          <t>F2</t>
        </is>
      </c>
      <c r="C883" s="22" t="inlineStr">
        <is>
          <t>F.DER</t>
        </is>
      </c>
      <c r="D883" s="23" t="inlineStr">
        <is>
          <t>CPT</t>
        </is>
      </c>
      <c r="E883" s="22" t="inlineStr">
        <is>
          <t>Ecrit f'(x) = 6x²</t>
        </is>
      </c>
      <c r="F883" s="22" t="inlineStr">
        <is>
          <t>La dérivée de 5/x est prise comme quotient des dérivées 0/1 = 0 : règle fausse de dérivation d'un quotient.</t>
        </is>
      </c>
    </row>
    <row r="884">
      <c r="A884" s="20" t="inlineStr">
        <is>
          <t>tleD</t>
        </is>
      </c>
      <c r="B884" s="21" t="inlineStr">
        <is>
          <t>F2</t>
        </is>
      </c>
      <c r="C884" s="20" t="inlineStr">
        <is>
          <t>F.DER</t>
        </is>
      </c>
      <c r="D884" s="21" t="inlineStr">
        <is>
          <t>ATT</t>
        </is>
      </c>
      <c r="E884" s="20" t="inlineStr">
        <is>
          <t>Ecrit f'(x) = 6x + 5/x²</t>
        </is>
      </c>
      <c r="F884" s="20" t="inlineStr">
        <is>
          <t>Le terme 5/x² est juste, ce qui montre la règle connue ; l'exposant de 6x² est perdu en recopiant.</t>
        </is>
      </c>
    </row>
    <row r="885">
      <c r="A885" s="22" t="inlineStr">
        <is>
          <t>tleD</t>
        </is>
      </c>
      <c r="B885" s="23" t="inlineStr">
        <is>
          <t>F3</t>
        </is>
      </c>
      <c r="C885" s="22" t="inlineStr">
        <is>
          <t>F.LIM</t>
        </is>
      </c>
      <c r="D885" s="23" t="inlineStr">
        <is>
          <t>CNS</t>
        </is>
      </c>
      <c r="E885" s="22" t="inlineStr">
        <is>
          <t>Entoure a) 3</t>
        </is>
      </c>
      <c r="F885" s="22" t="inlineStr">
        <is>
          <t>Seul le numérateur est évalué en 2 : la limite d'un quotient à dénominateur tendant vers 0 n'est pas disponible.</t>
        </is>
      </c>
    </row>
    <row r="886">
      <c r="A886" s="20" t="inlineStr">
        <is>
          <t>tleD</t>
        </is>
      </c>
      <c r="B886" s="21" t="inlineStr">
        <is>
          <t>F3</t>
        </is>
      </c>
      <c r="C886" s="20" t="inlineStr">
        <is>
          <t>F.LIM</t>
        </is>
      </c>
      <c r="D886" s="21" t="inlineStr">
        <is>
          <t>PRC</t>
        </is>
      </c>
      <c r="E886" s="20" t="inlineStr">
        <is>
          <t>Entoure c) -∞</t>
        </is>
      </c>
      <c r="F886" s="20" t="inlineStr">
        <is>
          <t>La forme « 3 sur 0 » est reconnue mais le signe de x - 2 pour x &gt; 2 est mal étudié.</t>
        </is>
      </c>
    </row>
    <row r="887">
      <c r="A887" s="22" t="inlineStr">
        <is>
          <t>tleD</t>
        </is>
      </c>
      <c r="B887" s="23" t="inlineStr">
        <is>
          <t>F3</t>
        </is>
      </c>
      <c r="C887" s="22" t="inlineStr">
        <is>
          <t>F.LIM</t>
        </is>
      </c>
      <c r="D887" s="23" t="inlineStr">
        <is>
          <t>CPT</t>
        </is>
      </c>
      <c r="E887" s="22" t="inlineStr">
        <is>
          <t>Entoure d) 0</t>
        </is>
      </c>
      <c r="F887" s="22" t="inlineStr">
        <is>
          <t>L'élève croit qu'un quotient dont le dénominateur tend vers 0 tend vers 0.</t>
        </is>
      </c>
    </row>
    <row r="888">
      <c r="A888" s="20" t="inlineStr">
        <is>
          <t>tleD</t>
        </is>
      </c>
      <c r="B888" s="21" t="inlineStr">
        <is>
          <t>F4</t>
        </is>
      </c>
      <c r="C888" s="20" t="inlineStr">
        <is>
          <t>F.VAR</t>
        </is>
      </c>
      <c r="D888" s="21" t="inlineStr">
        <is>
          <t>PRC</t>
        </is>
      </c>
      <c r="E888" s="20" t="inlineStr">
        <is>
          <t>Ecrit x = -5/2</t>
        </is>
      </c>
      <c r="F888" s="20" t="inlineStr">
        <is>
          <t>L'équation g'(x) = 0 est bien choisie mais 5 - 2x = 0 est résolu avec une erreur de signe.</t>
        </is>
      </c>
    </row>
    <row r="889">
      <c r="A889" s="22" t="inlineStr">
        <is>
          <t>tleD</t>
        </is>
      </c>
      <c r="B889" s="23" t="inlineStr">
        <is>
          <t>F4</t>
        </is>
      </c>
      <c r="C889" s="22" t="inlineStr">
        <is>
          <t>F.VAR</t>
        </is>
      </c>
      <c r="D889" s="23" t="inlineStr">
        <is>
          <t>CPT</t>
        </is>
      </c>
      <c r="E889" s="22" t="inlineStr">
        <is>
          <t>Ecrit « g est décroissante, elle n'a pas de maximum »</t>
        </is>
      </c>
      <c r="F889" s="22" t="inlineStr">
        <is>
          <t>Le coefficient -2 de g'(x) est lu comme le sens de variation de g : g' décroissante est confondue avec g décroissante.</t>
        </is>
      </c>
    </row>
    <row r="890">
      <c r="A890" s="20" t="inlineStr">
        <is>
          <t>tleD</t>
        </is>
      </c>
      <c r="B890" s="21" t="inlineStr">
        <is>
          <t>F4</t>
        </is>
      </c>
      <c r="C890" s="20" t="inlineStr">
        <is>
          <t>F.VAR</t>
        </is>
      </c>
      <c r="D890" s="21" t="inlineStr">
        <is>
          <t>CNS</t>
        </is>
      </c>
      <c r="E890" s="20" t="inlineStr">
        <is>
          <t>Ecrit x = 5</t>
        </is>
      </c>
      <c r="F890" s="20" t="inlineStr">
        <is>
          <t>Le lien « extremum là où g' s'annule en changeant de signe » n'est pas mobilisé : l'élève lit le terme constant de g'(x).</t>
        </is>
      </c>
    </row>
    <row r="891">
      <c r="A891" s="22" t="inlineStr">
        <is>
          <t>tleD</t>
        </is>
      </c>
      <c r="B891" s="23" t="inlineStr">
        <is>
          <t>F5</t>
        </is>
      </c>
      <c r="C891" s="22" t="inlineStr">
        <is>
          <t>F.ASY</t>
        </is>
      </c>
      <c r="D891" s="23" t="inlineStr">
        <is>
          <t>PRC</t>
        </is>
      </c>
      <c r="E891" s="22" t="inlineStr">
        <is>
          <t>Entoure a) x = 1 et y = 4</t>
        </is>
      </c>
      <c r="F891" s="22" t="inlineStr">
        <is>
          <t>La valeur interdite est obtenue avec un signe faux : x + 1 = 0 résolu en x = 1.</t>
        </is>
      </c>
    </row>
    <row r="892">
      <c r="A892" s="20" t="inlineStr">
        <is>
          <t>tleD</t>
        </is>
      </c>
      <c r="B892" s="21" t="inlineStr">
        <is>
          <t>F5</t>
        </is>
      </c>
      <c r="C892" s="20" t="inlineStr">
        <is>
          <t>F.ASY</t>
        </is>
      </c>
      <c r="D892" s="21" t="inlineStr">
        <is>
          <t>CNS</t>
        </is>
      </c>
      <c r="E892" s="20" t="inlineStr">
        <is>
          <t>Entoure b) x = -1 et y = 5</t>
        </is>
      </c>
      <c r="F892" s="20" t="inlineStr">
        <is>
          <t>L'asymptote horizontale est lue sur le terme constant du numérateur : la limite en l'infini n'est pas mobilisée.</t>
        </is>
      </c>
    </row>
    <row r="893">
      <c r="A893" s="22" t="inlineStr">
        <is>
          <t>tleD</t>
        </is>
      </c>
      <c r="B893" s="23" t="inlineStr">
        <is>
          <t>F5</t>
        </is>
      </c>
      <c r="C893" s="22" t="inlineStr">
        <is>
          <t>F.ASY</t>
        </is>
      </c>
      <c r="D893" s="23" t="inlineStr">
        <is>
          <t>CPT</t>
        </is>
      </c>
      <c r="E893" s="22" t="inlineStr">
        <is>
          <t>Entoure c) y = -1 et x = 4</t>
        </is>
      </c>
      <c r="F893" s="22" t="inlineStr">
        <is>
          <t>Asymptote verticale et horizontale sont confondues : les rôles de x et y sont échangés.</t>
        </is>
      </c>
    </row>
    <row r="894">
      <c r="A894" s="20" t="inlineStr">
        <is>
          <t>tleD</t>
        </is>
      </c>
      <c r="B894" s="21" t="inlineStr">
        <is>
          <t>F6</t>
        </is>
      </c>
      <c r="C894" s="20" t="inlineStr">
        <is>
          <t>F.DER</t>
        </is>
      </c>
      <c r="D894" s="21" t="inlineStr">
        <is>
          <t>CPT</t>
        </is>
      </c>
      <c r="E894" s="20" t="inlineStr">
        <is>
          <t>Ecrit u'(x) = 4(3x² - 1)³</t>
        </is>
      </c>
      <c r="F894" s="20" t="inlineStr">
        <is>
          <t>(3x² - 1)⁴ est dérivé comme x⁴ : le facteur u'(x) = 6x de la fonction composée est oublié.</t>
        </is>
      </c>
    </row>
    <row r="895">
      <c r="A895" s="22" t="inlineStr">
        <is>
          <t>tleD</t>
        </is>
      </c>
      <c r="B895" s="23" t="inlineStr">
        <is>
          <t>F6</t>
        </is>
      </c>
      <c r="C895" s="22" t="inlineStr">
        <is>
          <t>F.DER</t>
        </is>
      </c>
      <c r="D895" s="23" t="inlineStr">
        <is>
          <t>PRC</t>
        </is>
      </c>
      <c r="E895" s="22" t="inlineStr">
        <is>
          <t>Ecrit u'(x) = 12x(3x² - 1)³</t>
        </is>
      </c>
      <c r="F895" s="22" t="inlineStr">
        <is>
          <t>La formule n u' uⁿ⁻¹ est bien choisie mais la dérivée de 3x² est prise égale à 3x.</t>
        </is>
      </c>
    </row>
    <row r="896">
      <c r="A896" s="20" t="inlineStr">
        <is>
          <t>tleD</t>
        </is>
      </c>
      <c r="B896" s="21" t="inlineStr">
        <is>
          <t>F6</t>
        </is>
      </c>
      <c r="C896" s="20" t="inlineStr">
        <is>
          <t>F.DER</t>
        </is>
      </c>
      <c r="D896" s="21" t="inlineStr">
        <is>
          <t>CNS</t>
        </is>
      </c>
      <c r="E896" s="20" t="inlineStr">
        <is>
          <t>Commence à développer (3x² - 1)⁴ sans aboutir</t>
        </is>
      </c>
      <c r="F896" s="20" t="inlineStr">
        <is>
          <t>La formule de dérivation d'une puissance de fonction (uⁿ)' = n u' uⁿ⁻¹ n'est pas disponible.</t>
        </is>
      </c>
    </row>
    <row r="897">
      <c r="A897" s="22" t="inlineStr">
        <is>
          <t>tleD</t>
        </is>
      </c>
      <c r="B897" s="23" t="inlineStr">
        <is>
          <t>F7</t>
        </is>
      </c>
      <c r="C897" s="22" t="inlineStr">
        <is>
          <t>F.TAN</t>
        </is>
      </c>
      <c r="D897" s="23" t="inlineStr">
        <is>
          <t>CPT</t>
        </is>
      </c>
      <c r="E897" s="22" t="inlineStr">
        <is>
          <t>Ecrit y = (1/2)x - 5/4</t>
        </is>
      </c>
      <c r="F897" s="22" t="inlineStr">
        <is>
          <t>f(2) = 1/2 et f'(2) = -1/4 sont échangés dans y = f'(a)(x - a) + f(a) : rôle de la pente et de l'ordonnée confondus.</t>
        </is>
      </c>
    </row>
    <row r="898">
      <c r="A898" s="20" t="inlineStr">
        <is>
          <t>tleD</t>
        </is>
      </c>
      <c r="B898" s="21" t="inlineStr">
        <is>
          <t>F7</t>
        </is>
      </c>
      <c r="C898" s="20" t="inlineStr">
        <is>
          <t>F.DER</t>
        </is>
      </c>
      <c r="D898" s="21" t="inlineStr">
        <is>
          <t>CNS</t>
        </is>
      </c>
      <c r="E898" s="20" t="inlineStr">
        <is>
          <t>Ecrit y = (1/4)x</t>
        </is>
      </c>
      <c r="F898" s="20" t="inlineStr">
        <is>
          <t>La dérivée de 1/x est retenue comme 1/x² au lieu de -1/x², d'où f'(2) = 1/4 : formule fausse assumée.</t>
        </is>
      </c>
    </row>
    <row r="899">
      <c r="A899" s="22" t="inlineStr">
        <is>
          <t>tleD</t>
        </is>
      </c>
      <c r="B899" s="23" t="inlineStr">
        <is>
          <t>F7</t>
        </is>
      </c>
      <c r="C899" s="22" t="inlineStr">
        <is>
          <t>F.TAN</t>
        </is>
      </c>
      <c r="D899" s="23" t="inlineStr">
        <is>
          <t>PRC</t>
        </is>
      </c>
      <c r="E899" s="22" t="inlineStr">
        <is>
          <t>Ecrit y = -(1/4)x</t>
        </is>
      </c>
      <c r="F899" s="22" t="inlineStr">
        <is>
          <t>Formule et valeurs justes, mais -1/4 × (-2) est développé en -1/2 au lieu de +1/2.</t>
        </is>
      </c>
    </row>
    <row r="900">
      <c r="A900" s="20" t="inlineStr">
        <is>
          <t>tleD</t>
        </is>
      </c>
      <c r="B900" s="21" t="inlineStr">
        <is>
          <t>F8</t>
        </is>
      </c>
      <c r="C900" s="20" t="inlineStr">
        <is>
          <t>F.GRA</t>
        </is>
      </c>
      <c r="D900" s="21" t="inlineStr">
        <is>
          <t>CPT</t>
        </is>
      </c>
      <c r="E900" s="20" t="inlineStr">
        <is>
          <t>Ecrit « minimum 1, atteint en x = -2 »</t>
        </is>
      </c>
      <c r="F900" s="20" t="inlineStr">
        <is>
          <t>Le minimum (une ordonnée) et l'abscisse où il est atteint sont échangés.</t>
        </is>
      </c>
    </row>
    <row r="901">
      <c r="A901" s="22" t="inlineStr">
        <is>
          <t>tleD</t>
        </is>
      </c>
      <c r="B901" s="23" t="inlineStr">
        <is>
          <t>F8</t>
        </is>
      </c>
      <c r="C901" s="22" t="inlineStr">
        <is>
          <t>F.GRA</t>
        </is>
      </c>
      <c r="D901" s="23" t="inlineStr">
        <is>
          <t>CNS</t>
        </is>
      </c>
      <c r="E901" s="22" t="inlineStr">
        <is>
          <t>Ecrit « le minimum est -3 »</t>
        </is>
      </c>
      <c r="F901" s="22" t="inlineStr">
        <is>
          <t>La définition du minimum comme plus petite valeur de f(x) n'est pas disponible : l'élève donne la borne gauche de l'intervalle.</t>
        </is>
      </c>
    </row>
    <row r="902">
      <c r="A902" s="20" t="inlineStr">
        <is>
          <t>tleD</t>
        </is>
      </c>
      <c r="B902" s="21" t="inlineStr">
        <is>
          <t>F8</t>
        </is>
      </c>
      <c r="C902" s="20" t="inlineStr">
        <is>
          <t>F.GRA</t>
        </is>
      </c>
      <c r="D902" s="21" t="inlineStr">
        <is>
          <t>ATT</t>
        </is>
      </c>
      <c r="E902" s="20" t="inlineStr">
        <is>
          <t>Ecrit « minimum -2 » sans donner l'abscisse 1</t>
        </is>
      </c>
      <c r="F902" s="20" t="inlineStr">
        <is>
          <t>La lecture est juste mais la seconde moitié de la demande est oubliée.</t>
        </is>
      </c>
    </row>
    <row r="903">
      <c r="A903" s="22" t="inlineStr">
        <is>
          <t>tleD</t>
        </is>
      </c>
      <c r="B903" s="23" t="inlineStr">
        <is>
          <t>S1</t>
        </is>
      </c>
      <c r="C903" s="22" t="inlineStr">
        <is>
          <t>S.SUI</t>
        </is>
      </c>
      <c r="D903" s="23" t="inlineStr">
        <is>
          <t>CPT</t>
        </is>
      </c>
      <c r="E903" s="22" t="inlineStr">
        <is>
          <t>Entoure a) 7</t>
        </is>
      </c>
      <c r="F903" s="22" t="inlineStr">
        <is>
          <t>Le premier terme u₀ = 7 est pris pour la raison.</t>
        </is>
      </c>
    </row>
    <row r="904">
      <c r="A904" s="20" t="inlineStr">
        <is>
          <t>tleD</t>
        </is>
      </c>
      <c r="B904" s="21" t="inlineStr">
        <is>
          <t>S1</t>
        </is>
      </c>
      <c r="C904" s="20" t="inlineStr">
        <is>
          <t>S.SUI</t>
        </is>
      </c>
      <c r="D904" s="21" t="inlineStr">
        <is>
          <t>PRC</t>
        </is>
      </c>
      <c r="E904" s="20" t="inlineStr">
        <is>
          <t>Entoure c) 4</t>
        </is>
      </c>
      <c r="F904" s="20" t="inlineStr">
        <is>
          <t>Le coefficient de n est bien identifié comme raison mais son signe est perdu.</t>
        </is>
      </c>
    </row>
    <row r="905">
      <c r="A905" s="22" t="inlineStr">
        <is>
          <t>tleD</t>
        </is>
      </c>
      <c r="B905" s="23" t="inlineStr">
        <is>
          <t>S1</t>
        </is>
      </c>
      <c r="C905" s="22" t="inlineStr">
        <is>
          <t>S.SUI</t>
        </is>
      </c>
      <c r="D905" s="23" t="inlineStr">
        <is>
          <t>CNS</t>
        </is>
      </c>
      <c r="E905" s="22" t="inlineStr">
        <is>
          <t>Entoure d) 3</t>
        </is>
      </c>
      <c r="F905" s="22" t="inlineStr">
        <is>
          <t>La définition de la raison n'est pas mobilisée : l'élève calcule u₁ = 3.</t>
        </is>
      </c>
    </row>
    <row r="906">
      <c r="A906" s="20" t="inlineStr">
        <is>
          <t>tleD</t>
        </is>
      </c>
      <c r="B906" s="21" t="inlineStr">
        <is>
          <t>S2</t>
        </is>
      </c>
      <c r="C906" s="20" t="inlineStr">
        <is>
          <t>S.REC</t>
        </is>
      </c>
      <c r="D906" s="21" t="inlineStr">
        <is>
          <t>CPT</t>
        </is>
      </c>
      <c r="E906" s="20" t="inlineStr">
        <is>
          <t>Ecrit 3ⁿ⁺¹ ≥ 2n + 1</t>
        </is>
      </c>
      <c r="F906" s="20" t="inlineStr">
        <is>
          <t>n n'est remplacé que dans le membre de gauche : le passage au rang n + 1 n'est pas compris comme une substitution partout.</t>
        </is>
      </c>
    </row>
    <row r="907">
      <c r="A907" s="22" t="inlineStr">
        <is>
          <t>tleD</t>
        </is>
      </c>
      <c r="B907" s="23" t="inlineStr">
        <is>
          <t>S2</t>
        </is>
      </c>
      <c r="C907" s="22" t="inlineStr">
        <is>
          <t>S.REC</t>
        </is>
      </c>
      <c r="D907" s="23" t="inlineStr">
        <is>
          <t>PRC</t>
        </is>
      </c>
      <c r="E907" s="22" t="inlineStr">
        <is>
          <t>Ecrit 3ⁿ⁺¹ ≥ 2n + 2</t>
        </is>
      </c>
      <c r="F907" s="22" t="inlineStr">
        <is>
          <t>La substitution est faite mais 2(n + 1) + 1 est développé en 2n + 1 + 1 : le 2 n'est pas distribué.</t>
        </is>
      </c>
    </row>
    <row r="908">
      <c r="A908" s="20" t="inlineStr">
        <is>
          <t>tleD</t>
        </is>
      </c>
      <c r="B908" s="21" t="inlineStr">
        <is>
          <t>S2</t>
        </is>
      </c>
      <c r="C908" s="20" t="inlineStr">
        <is>
          <t>S.REC</t>
        </is>
      </c>
      <c r="D908" s="21" t="inlineStr">
        <is>
          <t>PRQ</t>
        </is>
      </c>
      <c r="E908" s="20" t="inlineStr">
        <is>
          <t>Ecrit 3ⁿ + 1 ≥ 2n + 3</t>
        </is>
      </c>
      <c r="F908" s="20" t="inlineStr">
        <is>
          <t>3ⁿ⁺¹ est confondu avec 3ⁿ + 1 : acquis en cause, l'écriture et le sens des puissances (4e).</t>
        </is>
      </c>
    </row>
    <row r="909">
      <c r="A909" s="22" t="inlineStr">
        <is>
          <t>tleD</t>
        </is>
      </c>
      <c r="B909" s="23" t="inlineStr">
        <is>
          <t>S2</t>
        </is>
      </c>
      <c r="C909" s="22" t="inlineStr">
        <is>
          <t>S.REC</t>
        </is>
      </c>
      <c r="D909" s="23" t="inlineStr">
        <is>
          <t>CNS</t>
        </is>
      </c>
      <c r="E909" s="22" t="inlineStr">
        <is>
          <t>Recopie 3ⁿ ≥ 2n + 1 sans changer de rang</t>
        </is>
      </c>
      <c r="F909" s="22" t="inlineStr">
        <is>
          <t>Le sens de « propriété au rang n + 1 » dans une récurrence n'est pas disponible.</t>
        </is>
      </c>
    </row>
    <row r="910">
      <c r="A910" s="20" t="inlineStr">
        <is>
          <t>tleD</t>
        </is>
      </c>
      <c r="B910" s="21" t="inlineStr">
        <is>
          <t>S3</t>
        </is>
      </c>
      <c r="C910" s="20" t="inlineStr">
        <is>
          <t>S.SUI</t>
        </is>
      </c>
      <c r="D910" s="21" t="inlineStr">
        <is>
          <t>CPT</t>
        </is>
      </c>
      <c r="E910" s="20" t="inlineStr">
        <is>
          <t>Ecrit 170</t>
        </is>
      </c>
      <c r="F910" s="20" t="inlineStr">
        <is>
          <t>La formule est appliquée avec 10 termes au lieu de 11 (10 × 34/2 = 170) : comptage des termes de v₀ à v₁₀ faux de façon systématique.</t>
        </is>
      </c>
    </row>
    <row r="911">
      <c r="A911" s="22" t="inlineStr">
        <is>
          <t>tleD</t>
        </is>
      </c>
      <c r="B911" s="23" t="inlineStr">
        <is>
          <t>S3</t>
        </is>
      </c>
      <c r="C911" s="22" t="inlineStr">
        <is>
          <t>S.SUI</t>
        </is>
      </c>
      <c r="D911" s="23" t="inlineStr">
        <is>
          <t>CNS</t>
        </is>
      </c>
      <c r="E911" s="22" t="inlineStr">
        <is>
          <t>Ecrit 374</t>
        </is>
      </c>
      <c r="F911" s="22" t="inlineStr">
        <is>
          <t>La formule est retenue sans la division par 2 : 11 × (2 + 32) = 374.</t>
        </is>
      </c>
    </row>
    <row r="912">
      <c r="A912" s="20" t="inlineStr">
        <is>
          <t>tleD</t>
        </is>
      </c>
      <c r="B912" s="21" t="inlineStr">
        <is>
          <t>S3</t>
        </is>
      </c>
      <c r="C912" s="20" t="inlineStr">
        <is>
          <t>S.SUI</t>
        </is>
      </c>
      <c r="D912" s="21" t="inlineStr">
        <is>
          <t>PRC</t>
        </is>
      </c>
      <c r="E912" s="20" t="inlineStr">
        <is>
          <t>Ecrit 177</t>
        </is>
      </c>
      <c r="F912" s="20" t="inlineStr">
        <is>
          <t>11 × 34/2 bien posé mais le produit 11 × 17 est mal exécuté.</t>
        </is>
      </c>
    </row>
    <row r="913">
      <c r="A913" s="22" t="inlineStr">
        <is>
          <t>tleD</t>
        </is>
      </c>
      <c r="B913" s="23" t="inlineStr">
        <is>
          <t>T1</t>
        </is>
      </c>
      <c r="C913" s="22" t="inlineStr">
        <is>
          <t>T.TRIG</t>
        </is>
      </c>
      <c r="D913" s="23" t="inlineStr">
        <is>
          <t>CPT</t>
        </is>
      </c>
      <c r="E913" s="22" t="inlineStr">
        <is>
          <t>Ecrit cos(π/3 - π/6) = cos(π/6) = √3/2</t>
        </is>
      </c>
      <c r="F913" s="22" t="inlineStr">
        <is>
          <t>La forme cos a cos b - sin a sin b est associée à cos(a - b) : les formules d'addition et de soustraction sont confondues.</t>
        </is>
      </c>
    </row>
    <row r="914">
      <c r="A914" s="20" t="inlineStr">
        <is>
          <t>tleD</t>
        </is>
      </c>
      <c r="B914" s="21" t="inlineStr">
        <is>
          <t>T1</t>
        </is>
      </c>
      <c r="C914" s="20" t="inlineStr">
        <is>
          <t>T.TRIG</t>
        </is>
      </c>
      <c r="D914" s="21" t="inlineStr">
        <is>
          <t>PRQ</t>
        </is>
      </c>
      <c r="E914" s="20" t="inlineStr">
        <is>
          <t>Ecrit 1/2 (3/4 - 1/4)</t>
        </is>
      </c>
      <c r="F914" s="20" t="inlineStr">
        <is>
          <t>cos(π/3) et sin(π/3) sont échangés (√3/2 et 1/2) : acquis en cause, les valeurs remarquables du cercle trigonométrique (2nde).</t>
        </is>
      </c>
    </row>
    <row r="915">
      <c r="A915" s="22" t="inlineStr">
        <is>
          <t>tleD</t>
        </is>
      </c>
      <c r="B915" s="23" t="inlineStr">
        <is>
          <t>T1</t>
        </is>
      </c>
      <c r="C915" s="22" t="inlineStr">
        <is>
          <t>T.TRIG</t>
        </is>
      </c>
      <c r="D915" s="23" t="inlineStr">
        <is>
          <t>PRC</t>
        </is>
      </c>
      <c r="E915" s="22" t="inlineStr">
        <is>
          <t>Ecrit √3/4 + √3/4 = √3/2</t>
        </is>
      </c>
      <c r="F915" s="22" t="inlineStr">
        <is>
          <t>Les quatre valeurs sont justes mais le signe moins entre les deux produits devient un plus.</t>
        </is>
      </c>
    </row>
    <row r="916">
      <c r="A916" s="20" t="inlineStr">
        <is>
          <t>tleD</t>
        </is>
      </c>
      <c r="B916" s="21" t="inlineStr">
        <is>
          <t>T2</t>
        </is>
      </c>
      <c r="C916" s="20" t="inlineStr">
        <is>
          <t>T.EQT</t>
        </is>
      </c>
      <c r="D916" s="21" t="inlineStr">
        <is>
          <t>PRC</t>
        </is>
      </c>
      <c r="E916" s="20" t="inlineStr">
        <is>
          <t>Ecrit ]2π/3 ; π]</t>
        </is>
      </c>
      <c r="F916" s="20" t="inlineStr">
        <is>
          <t>La borne 2π/3 est trouvée mais exclue alors que l'inégalité ≤ est large.</t>
        </is>
      </c>
    </row>
    <row r="917">
      <c r="A917" s="22" t="inlineStr">
        <is>
          <t>tleD</t>
        </is>
      </c>
      <c r="B917" s="23" t="inlineStr">
        <is>
          <t>T2</t>
        </is>
      </c>
      <c r="C917" s="22" t="inlineStr">
        <is>
          <t>T.EQT</t>
        </is>
      </c>
      <c r="D917" s="23" t="inlineStr">
        <is>
          <t>CPT</t>
        </is>
      </c>
      <c r="E917" s="22" t="inlineStr">
        <is>
          <t>Ecrit [0 ; 2π/3]</t>
        </is>
      </c>
      <c r="F917" s="22" t="inlineStr">
        <is>
          <t>Le sens de lecture sur le cercle est inversé : l'élève donne la partie où cos x ≥ -1/2.</t>
        </is>
      </c>
    </row>
    <row r="918">
      <c r="A918" s="20" t="inlineStr">
        <is>
          <t>tleD</t>
        </is>
      </c>
      <c r="B918" s="21" t="inlineStr">
        <is>
          <t>T2</t>
        </is>
      </c>
      <c r="C918" s="20" t="inlineStr">
        <is>
          <t>T.TRIG</t>
        </is>
      </c>
      <c r="D918" s="21" t="inlineStr">
        <is>
          <t>CNS</t>
        </is>
      </c>
      <c r="E918" s="20" t="inlineStr">
        <is>
          <t>Ecrit [π/3 ; π]</t>
        </is>
      </c>
      <c r="F918" s="20" t="inlineStr">
        <is>
          <t>La valeur remarquable cos(2π/3) = -1/2 n'est pas disponible : π/3, où le cosinus vaut 1/2, est pris comme borne.</t>
        </is>
      </c>
    </row>
    <row r="919">
      <c r="A919" s="22" t="inlineStr">
        <is>
          <t>tleD</t>
        </is>
      </c>
      <c r="B919" s="23" t="inlineStr">
        <is>
          <t>T2</t>
        </is>
      </c>
      <c r="C919" s="22" t="inlineStr">
        <is>
          <t>T.EQT</t>
        </is>
      </c>
      <c r="D919" s="23" t="inlineStr">
        <is>
          <t>ATT</t>
        </is>
      </c>
      <c r="E919" s="22" t="inlineStr">
        <is>
          <t>Ecrit [2π/3 ; 4π/3]</t>
        </is>
      </c>
      <c r="F919" s="22" t="inlineStr">
        <is>
          <t>La résolution est juste sur [0 ; 2π[ mais l'intervalle de recherche [0 ; π] imposé est oublié.</t>
        </is>
      </c>
    </row>
    <row r="920">
      <c r="A920" s="20" t="inlineStr">
        <is>
          <t>tleD</t>
        </is>
      </c>
      <c r="B920" s="21" t="inlineStr">
        <is>
          <t>D1</t>
        </is>
      </c>
      <c r="C920" s="20" t="inlineStr">
        <is>
          <t>D.DEN</t>
        </is>
      </c>
      <c r="D920" s="21" t="inlineStr">
        <is>
          <t>CPT</t>
        </is>
      </c>
      <c r="E920" s="20" t="inlineStr">
        <is>
          <t>Entoure a) 1320</t>
        </is>
      </c>
      <c r="F920" s="20" t="inlineStr">
        <is>
          <t>L'arrangement 12 × 11 × 10 est calculé : l'ordre des élèves choisis est compté à tort.</t>
        </is>
      </c>
    </row>
    <row r="921">
      <c r="A921" s="22" t="inlineStr">
        <is>
          <t>tleD</t>
        </is>
      </c>
      <c r="B921" s="23" t="inlineStr">
        <is>
          <t>D1</t>
        </is>
      </c>
      <c r="C921" s="22" t="inlineStr">
        <is>
          <t>D.DEN</t>
        </is>
      </c>
      <c r="D921" s="23" t="inlineStr">
        <is>
          <t>CNS</t>
        </is>
      </c>
      <c r="E921" s="22" t="inlineStr">
        <is>
          <t>Entoure b) 36</t>
        </is>
      </c>
      <c r="F921" s="22" t="inlineStr">
        <is>
          <t>Le produit 12 × 3 montre qu'aucun outil de dénombrement n'est disponible.</t>
        </is>
      </c>
    </row>
    <row r="922">
      <c r="A922" s="20" t="inlineStr">
        <is>
          <t>tleD</t>
        </is>
      </c>
      <c r="B922" s="21" t="inlineStr">
        <is>
          <t>D1</t>
        </is>
      </c>
      <c r="C922" s="20" t="inlineStr">
        <is>
          <t>D.DEN</t>
        </is>
      </c>
      <c r="D922" s="21" t="inlineStr">
        <is>
          <t>MOD</t>
        </is>
      </c>
      <c r="E922" s="20" t="inlineStr">
        <is>
          <t>Entoure d) 1728</t>
        </is>
      </c>
      <c r="F922" s="20" t="inlineStr">
        <is>
          <t>Le choix est modélisé comme trois tirages avec répétition (12³) alors qu'on choisit trois élèves distincts.</t>
        </is>
      </c>
    </row>
    <row r="923">
      <c r="A923" s="22" t="inlineStr">
        <is>
          <t>tleD</t>
        </is>
      </c>
      <c r="B923" s="23" t="inlineStr">
        <is>
          <t>G1</t>
        </is>
      </c>
      <c r="C923" s="22" t="inlineStr">
        <is>
          <t>G.PS</t>
        </is>
      </c>
      <c r="D923" s="23" t="inlineStr">
        <is>
          <t>PRC</t>
        </is>
      </c>
      <c r="E923" s="22" t="inlineStr">
        <is>
          <t>Entoure a) -3/2</t>
        </is>
      </c>
      <c r="F923" s="22" t="inlineStr">
        <is>
          <t>La condition xx' + yy' = 0 est bien choisie mais 3 × (-2) est écrit +6.</t>
        </is>
      </c>
    </row>
    <row r="924">
      <c r="A924" s="20" t="inlineStr">
        <is>
          <t>tleD</t>
        </is>
      </c>
      <c r="B924" s="21" t="inlineStr">
        <is>
          <t>G1</t>
        </is>
      </c>
      <c r="C924" s="20" t="inlineStr">
        <is>
          <t>G.PS</t>
        </is>
      </c>
      <c r="D924" s="21" t="inlineStr">
        <is>
          <t>CPT</t>
        </is>
      </c>
      <c r="E924" s="20" t="inlineStr">
        <is>
          <t>Entoure b) 6</t>
        </is>
      </c>
      <c r="F924" s="20" t="inlineStr">
        <is>
          <t>Le produit scalaire est confondu avec un calcul en produits croisés : -2m + 12 = 0.</t>
        </is>
      </c>
    </row>
    <row r="925">
      <c r="A925" s="22" t="inlineStr">
        <is>
          <t>tleD</t>
        </is>
      </c>
      <c r="B925" s="23" t="inlineStr">
        <is>
          <t>G1</t>
        </is>
      </c>
      <c r="C925" s="22" t="inlineStr">
        <is>
          <t>G.PS</t>
        </is>
      </c>
      <c r="D925" s="23" t="inlineStr">
        <is>
          <t>PRC</t>
        </is>
      </c>
      <c r="E925" s="22" t="inlineStr">
        <is>
          <t>Entoure c) 2/3</t>
        </is>
      </c>
      <c r="F925" s="22" t="inlineStr">
        <is>
          <t>4m = 6 bien obtenu mais la division est inversée : m = 4/6.</t>
        </is>
      </c>
    </row>
    <row r="926">
      <c r="A926" s="20" t="inlineStr">
        <is>
          <t>tleD</t>
        </is>
      </c>
      <c r="B926" s="21" t="inlineStr">
        <is>
          <t>G2</t>
        </is>
      </c>
      <c r="C926" s="20" t="inlineStr">
        <is>
          <t>G.ESP</t>
        </is>
      </c>
      <c r="D926" s="21" t="inlineStr">
        <is>
          <t>CPT</t>
        </is>
      </c>
      <c r="E926" s="20" t="inlineStr">
        <is>
          <t>Ecrit AG = 19 cm (6 + 6 + 7)</t>
        </is>
      </c>
      <c r="F926" s="20" t="inlineStr">
        <is>
          <t>La racine est distribuée sur la somme des carrés : √(6² + 6² + 7²) est remplacé par 6 + 6 + 7.</t>
        </is>
      </c>
    </row>
    <row r="927">
      <c r="A927" s="22" t="inlineStr">
        <is>
          <t>tleD</t>
        </is>
      </c>
      <c r="B927" s="23" t="inlineStr">
        <is>
          <t>G2</t>
        </is>
      </c>
      <c r="C927" s="22" t="inlineStr">
        <is>
          <t>G.ESP</t>
        </is>
      </c>
      <c r="D927" s="23" t="inlineStr">
        <is>
          <t>CNS</t>
        </is>
      </c>
      <c r="E927" s="22" t="inlineStr">
        <is>
          <t>Ecrit AG = √85 cm</t>
        </is>
      </c>
      <c r="F927" s="22" t="inlineStr">
        <is>
          <t>Un seul théorème de Pythagore (6² + 7²) : la diagonale du pavé est confondue avec la diagonale d'une face.</t>
        </is>
      </c>
    </row>
    <row r="928">
      <c r="A928" s="20" t="inlineStr">
        <is>
          <t>tleD</t>
        </is>
      </c>
      <c r="B928" s="21" t="inlineStr">
        <is>
          <t>G2</t>
        </is>
      </c>
      <c r="C928" s="20" t="inlineStr">
        <is>
          <t>G.ESP</t>
        </is>
      </c>
      <c r="D928" s="21" t="inlineStr">
        <is>
          <t>PRQ</t>
        </is>
      </c>
      <c r="E928" s="20" t="inlineStr">
        <is>
          <t>Ecrit AG = √38 cm</t>
        </is>
      </c>
      <c r="F928" s="20" t="inlineStr">
        <is>
          <t>Les carrés sont calculés comme des doubles (12 + 12 + 14) : acquis en cause, le carré d'un nombre (collège).</t>
        </is>
      </c>
    </row>
    <row r="929">
      <c r="A929" s="22" t="inlineStr">
        <is>
          <t>tleD</t>
        </is>
      </c>
      <c r="B929" s="23" t="inlineStr">
        <is>
          <t>G2</t>
        </is>
      </c>
      <c r="C929" s="22" t="inlineStr">
        <is>
          <t>G.ESP</t>
        </is>
      </c>
      <c r="D929" s="23" t="inlineStr">
        <is>
          <t>PRC</t>
        </is>
      </c>
      <c r="E929" s="22" t="inlineStr">
        <is>
          <t>Ecrit AG = 6√2 cm</t>
        </is>
      </c>
      <c r="F929" s="22" t="inlineStr">
        <is>
          <t>La démarche en deux temps est lancée mais s'arrête à la diagonale de la base AC = √72 = 6√2 : étape omise.</t>
        </is>
      </c>
    </row>
    <row r="930">
      <c r="A930" s="20" t="inlineStr">
        <is>
          <t>tleD</t>
        </is>
      </c>
      <c r="B930" s="21" t="inlineStr">
        <is>
          <t>L4</t>
        </is>
      </c>
      <c r="C930" s="20" t="inlineStr">
        <is>
          <t>L.POLY</t>
        </is>
      </c>
      <c r="D930" s="21" t="inlineStr">
        <is>
          <t>PRC</t>
        </is>
      </c>
      <c r="E930" s="20" t="inlineStr">
        <is>
          <t>Ecrit a = -7, puis P(1) = -7 et « Moussa a tort »</t>
        </is>
      </c>
      <c r="F930" s="20" t="inlineStr">
        <is>
          <t>P(2) = 0 est bien posé mais -7 × 2 devient +14 : 4a + 28 = 0 ; le jugement suit la valeur fausse.</t>
        </is>
      </c>
    </row>
    <row r="931">
      <c r="A931" s="22" t="inlineStr">
        <is>
          <t>tleD</t>
        </is>
      </c>
      <c r="B931" s="23" t="inlineStr">
        <is>
          <t>L4</t>
        </is>
      </c>
      <c r="C931" s="22" t="inlineStr">
        <is>
          <t>L.POLY</t>
        </is>
      </c>
      <c r="D931" s="23" t="inlineStr">
        <is>
          <t>CPT</t>
        </is>
      </c>
      <c r="E931" s="22" t="inlineStr">
        <is>
          <t>Ecrit P(2) = 2, soit 4a = 2 et a = 1/2</t>
        </is>
      </c>
      <c r="F931" s="22" t="inlineStr">
        <is>
          <t>« 2 est racine » est traduit par P(2) = 2 : racine et image sont confondues.</t>
        </is>
      </c>
    </row>
    <row r="932">
      <c r="A932" s="20" t="inlineStr">
        <is>
          <t>tleD</t>
        </is>
      </c>
      <c r="B932" s="21" t="inlineStr">
        <is>
          <t>L4</t>
        </is>
      </c>
      <c r="C932" s="20" t="inlineStr">
        <is>
          <t>L.POLY</t>
        </is>
      </c>
      <c r="D932" s="21" t="inlineStr">
        <is>
          <t>CNS</t>
        </is>
      </c>
      <c r="E932" s="20" t="inlineStr">
        <is>
          <t>Ecrit « Moussa a tort, la racine de P est 2 » sans calculer P(1)</t>
        </is>
      </c>
      <c r="F932" s="20" t="inlineStr">
        <is>
          <t>Le test d'une racine par le calcul de P(1) n'est pas mobilisé ; l'élève croit qu'une seule racine est possible.</t>
        </is>
      </c>
    </row>
    <row r="933">
      <c r="A933" s="22" t="inlineStr">
        <is>
          <t>tleD</t>
        </is>
      </c>
      <c r="B933" s="23" t="inlineStr">
        <is>
          <t>L4</t>
        </is>
      </c>
      <c r="C933" s="22" t="inlineStr">
        <is>
          <t>L.POLY</t>
        </is>
      </c>
      <c r="D933" s="23" t="inlineStr">
        <is>
          <t>RED</t>
        </is>
      </c>
      <c r="E933" s="22" t="inlineStr">
        <is>
          <t>Ecrit a = 0 et « Moussa a raison » sans écrire P(2) = 0 ni P(1) = 0</t>
        </is>
      </c>
      <c r="F933" s="22" t="inlineStr">
        <is>
          <t>Les résultats sont justes mais aucune des deux traductions qui les fondent n'est écrite.</t>
        </is>
      </c>
    </row>
    <row r="934">
      <c r="A934" s="20" t="inlineStr">
        <is>
          <t>tleD</t>
        </is>
      </c>
      <c r="B934" s="21" t="inlineStr">
        <is>
          <t>L5</t>
        </is>
      </c>
      <c r="C934" s="20" t="inlineStr">
        <is>
          <t>L.RATF</t>
        </is>
      </c>
      <c r="D934" s="21" t="inlineStr">
        <is>
          <t>CPT</t>
        </is>
      </c>
      <c r="E934" s="20" t="inlineStr">
        <is>
          <t>Ecrit « -2 n'est pas solution car f(-2) = 0 n'est pas négatif »</t>
        </is>
      </c>
      <c r="F934" s="20" t="inlineStr">
        <is>
          <t>Inégalité large et stricte sont confondues : f(x) ≤ 0 est lu comme f(x) &lt; 0.</t>
        </is>
      </c>
    </row>
    <row r="935">
      <c r="A935" s="22" t="inlineStr">
        <is>
          <t>tleD</t>
        </is>
      </c>
      <c r="B935" s="23" t="inlineStr">
        <is>
          <t>L5</t>
        </is>
      </c>
      <c r="C935" s="22" t="inlineStr">
        <is>
          <t>L.RATF</t>
        </is>
      </c>
      <c r="D935" s="23" t="inlineStr">
        <is>
          <t>PRC</t>
        </is>
      </c>
      <c r="E935" s="22" t="inlineStr">
        <is>
          <t>Ecrit x + 2 &lt; 0 sur ]1/2 ; 3[, donc f(x) &gt; 0</t>
        </is>
      </c>
      <c r="F935" s="22" t="inlineStr">
        <is>
          <t>La méthode par le signe des facteurs est bonne mais le signe de x + 2 est faux.</t>
        </is>
      </c>
    </row>
    <row r="936">
      <c r="A936" s="20" t="inlineStr">
        <is>
          <t>tleD</t>
        </is>
      </c>
      <c r="B936" s="21" t="inlineStr">
        <is>
          <t>L5</t>
        </is>
      </c>
      <c r="C936" s="20" t="inlineStr">
        <is>
          <t>L.INEQ2</t>
        </is>
      </c>
      <c r="D936" s="21" t="inlineStr">
        <is>
          <t>PRQ</t>
        </is>
      </c>
      <c r="E936" s="20" t="inlineStr">
        <is>
          <t>Ecrit 2x - 1 &lt; 0 sur ]1/2 ; 3[, donc f(x) &gt; 0</t>
        </is>
      </c>
      <c r="F936" s="20" t="inlineStr">
        <is>
          <t>Le signe de 2x - 1 est faux : acquis en cause, la résolution d'une inéquation du premier degré (3e).</t>
        </is>
      </c>
    </row>
    <row r="937">
      <c r="A937" s="22" t="inlineStr">
        <is>
          <t>tleD</t>
        </is>
      </c>
      <c r="B937" s="23" t="inlineStr">
        <is>
          <t>L5</t>
        </is>
      </c>
      <c r="C937" s="22" t="inlineStr">
        <is>
          <t>L.RATF</t>
        </is>
      </c>
      <c r="D937" s="23" t="inlineStr">
        <is>
          <t>RED</t>
        </is>
      </c>
      <c r="E937" s="22" t="inlineStr">
        <is>
          <t>Ecrit « f(x) &lt; 0 » sans donner le signe des trois facteurs</t>
        </is>
      </c>
      <c r="F937" s="22" t="inlineStr">
        <is>
          <t>Le résultat est juste mais l'étude de signe qui le fonde n'apparaît pas.</t>
        </is>
      </c>
    </row>
    <row r="938">
      <c r="A938" s="20" t="inlineStr">
        <is>
          <t>tleD</t>
        </is>
      </c>
      <c r="B938" s="21" t="inlineStr">
        <is>
          <t>L6</t>
        </is>
      </c>
      <c r="C938" s="20" t="inlineStr">
        <is>
          <t>L.EQ2</t>
        </is>
      </c>
      <c r="D938" s="21" t="inlineStr">
        <is>
          <t>PRQ</t>
        </is>
      </c>
      <c r="E938" s="20" t="inlineStr">
        <is>
          <t>Ecrit m = 5 seulement</t>
        </is>
      </c>
      <c r="F938" s="20" t="inlineStr">
        <is>
          <t>(m - 1)² = 16 est résolu par m - 1 = 4 seulement : acquis en cause, l'équation X² = a et ses deux solutions (3e).</t>
        </is>
      </c>
    </row>
    <row r="939">
      <c r="A939" s="22" t="inlineStr">
        <is>
          <t>tleD</t>
        </is>
      </c>
      <c r="B939" s="23" t="inlineStr">
        <is>
          <t>L6</t>
        </is>
      </c>
      <c r="C939" s="22" t="inlineStr">
        <is>
          <t>L.EQ2</t>
        </is>
      </c>
      <c r="D939" s="23" t="inlineStr">
        <is>
          <t>CPT</t>
        </is>
      </c>
      <c r="E939" s="22" t="inlineStr">
        <is>
          <t>Pose Δ &gt; 0 pour obtenir une solution double</t>
        </is>
      </c>
      <c r="F939" s="22" t="inlineStr">
        <is>
          <t>Le lien entre le signe du discriminant et le nombre de solutions est faux : solution double associée à Δ &gt; 0.</t>
        </is>
      </c>
    </row>
    <row r="940">
      <c r="A940" s="20" t="inlineStr">
        <is>
          <t>tleD</t>
        </is>
      </c>
      <c r="B940" s="21" t="inlineStr">
        <is>
          <t>L6</t>
        </is>
      </c>
      <c r="C940" s="20" t="inlineStr">
        <is>
          <t>L.EQ2</t>
        </is>
      </c>
      <c r="D940" s="21" t="inlineStr">
        <is>
          <t>PRC</t>
        </is>
      </c>
      <c r="E940" s="20" t="inlineStr">
        <is>
          <t>Ecrit pour m = 0 : Δ = 1 + 16 = 17 et « Safiatou a tort »</t>
        </is>
      </c>
      <c r="F940" s="20" t="inlineStr">
        <is>
          <t>La formule b² - 4ac est connue mais le signe de -4ac est perdu ; le jugement suit la valeur fausse.</t>
        </is>
      </c>
    </row>
    <row r="941">
      <c r="A941" s="22" t="inlineStr">
        <is>
          <t>tleD</t>
        </is>
      </c>
      <c r="B941" s="23" t="inlineStr">
        <is>
          <t>L6</t>
        </is>
      </c>
      <c r="C941" s="22" t="inlineStr">
        <is>
          <t>L.EQ2</t>
        </is>
      </c>
      <c r="D941" s="23" t="inlineStr">
        <is>
          <t>RED</t>
        </is>
      </c>
      <c r="E941" s="22" t="inlineStr">
        <is>
          <t>Ecrit « Safiatou a raison » sans calculer Δ pour m = 0</t>
        </is>
      </c>
      <c r="F941" s="22" t="inlineStr">
        <is>
          <t>La conclusion est juste mais elle n'est appuyée sur aucun discriminant.</t>
        </is>
      </c>
    </row>
    <row r="942">
      <c r="A942" s="20" t="inlineStr">
        <is>
          <t>tleD</t>
        </is>
      </c>
      <c r="B942" s="21" t="inlineStr">
        <is>
          <t>F9</t>
        </is>
      </c>
      <c r="C942" s="20" t="inlineStr">
        <is>
          <t>F.DEF</t>
        </is>
      </c>
      <c r="D942" s="21" t="inlineStr">
        <is>
          <t>CNS</t>
        </is>
      </c>
      <c r="E942" s="20" t="inlineStr">
        <is>
          <t>Ecrit D = [-3 ; 3]</t>
        </is>
      </c>
      <c r="F942" s="20" t="inlineStr">
        <is>
          <t>Les bornes sont incluses : la condition « dénominateur non nul » n'est pas mobilisée en plus de celle du radical.</t>
        </is>
      </c>
    </row>
    <row r="943">
      <c r="A943" s="22" t="inlineStr">
        <is>
          <t>tleD</t>
        </is>
      </c>
      <c r="B943" s="23" t="inlineStr">
        <is>
          <t>F9</t>
        </is>
      </c>
      <c r="C943" s="22" t="inlineStr">
        <is>
          <t>F.DEF</t>
        </is>
      </c>
      <c r="D943" s="23" t="inlineStr">
        <is>
          <t>PRQ</t>
        </is>
      </c>
      <c r="E943" s="22" t="inlineStr">
        <is>
          <t>Ecrit 9 - x² &gt; 0 donc x &lt; 3, D = ]-∞ ; 3[</t>
        </is>
      </c>
      <c r="F943" s="22" t="inlineStr">
        <is>
          <t>x² &lt; 9 est résolu comme x &lt; 3 : acquis en cause, la résolution de x² &lt; a (2nde).</t>
        </is>
      </c>
    </row>
    <row r="944">
      <c r="A944" s="20" t="inlineStr">
        <is>
          <t>tleD</t>
        </is>
      </c>
      <c r="B944" s="21" t="inlineStr">
        <is>
          <t>F9</t>
        </is>
      </c>
      <c r="C944" s="20" t="inlineStr">
        <is>
          <t>F.PAR</t>
        </is>
      </c>
      <c r="D944" s="21" t="inlineStr">
        <is>
          <t>CPT</t>
        </is>
      </c>
      <c r="E944" s="20" t="inlineStr">
        <is>
          <t>Ecrit « f est paire car (-x)² = x² »</t>
        </is>
      </c>
      <c r="F944" s="20" t="inlineStr">
        <is>
          <t>La parité est jugée sur le seul radical : le numérateur x, qui change de signe, est ignoré.</t>
        </is>
      </c>
    </row>
    <row r="945">
      <c r="A945" s="22" t="inlineStr">
        <is>
          <t>tleD</t>
        </is>
      </c>
      <c r="B945" s="23" t="inlineStr">
        <is>
          <t>F9</t>
        </is>
      </c>
      <c r="C945" s="22" t="inlineStr">
        <is>
          <t>F.PAR</t>
        </is>
      </c>
      <c r="D945" s="23" t="inlineStr">
        <is>
          <t>RED</t>
        </is>
      </c>
      <c r="E945" s="22" t="inlineStr">
        <is>
          <t>Ecrit « Talato a tort, f est impaire » sans calculer f(-x)</t>
        </is>
      </c>
      <c r="F945" s="22" t="inlineStr">
        <is>
          <t>La conclusion est juste mais ni f(-x) = -f(x) ni la symétrie de D ne sont établis.</t>
        </is>
      </c>
    </row>
    <row r="946">
      <c r="A946" s="20" t="inlineStr">
        <is>
          <t>tleD</t>
        </is>
      </c>
      <c r="B946" s="21" t="inlineStr">
        <is>
          <t>F10</t>
        </is>
      </c>
      <c r="C946" s="20" t="inlineStr">
        <is>
          <t>F.LIM</t>
        </is>
      </c>
      <c r="D946" s="21" t="inlineStr">
        <is>
          <t>CPT</t>
        </is>
      </c>
      <c r="E946" s="20" t="inlineStr">
        <is>
          <t>Ecrit « Issouf a raison » après la seule limite à droite +∞</t>
        </is>
      </c>
      <c r="F946" s="20" t="inlineStr">
        <is>
          <t>La limite en 2 est confondue avec la limite à droite : les deux limites latérales ne sont pas comparées.</t>
        </is>
      </c>
    </row>
    <row r="947">
      <c r="A947" s="22" t="inlineStr">
        <is>
          <t>tleD</t>
        </is>
      </c>
      <c r="B947" s="23" t="inlineStr">
        <is>
          <t>F10</t>
        </is>
      </c>
      <c r="C947" s="22" t="inlineStr">
        <is>
          <t>F.LIM</t>
        </is>
      </c>
      <c r="D947" s="23" t="inlineStr">
        <is>
          <t>PRC</t>
        </is>
      </c>
      <c r="E947" s="22" t="inlineStr">
        <is>
          <t>Ecrit a = -1</t>
        </is>
      </c>
      <c r="F947" s="22" t="inlineStr">
        <is>
          <t>L'annulation du numérateur en 2 est bien posée mais 2a - 2 = 0 est résolu avec une erreur de signe.</t>
        </is>
      </c>
    </row>
    <row r="948">
      <c r="A948" s="20" t="inlineStr">
        <is>
          <t>tleD</t>
        </is>
      </c>
      <c r="B948" s="21" t="inlineStr">
        <is>
          <t>F10</t>
        </is>
      </c>
      <c r="C948" s="20" t="inlineStr">
        <is>
          <t>F.LIM</t>
        </is>
      </c>
      <c r="D948" s="21" t="inlineStr">
        <is>
          <t>CNS</t>
        </is>
      </c>
      <c r="E948" s="20" t="inlineStr">
        <is>
          <t>Ecrit « aucune valeur de a, car x - 2 s'annule en 2 »</t>
        </is>
      </c>
      <c r="F948" s="20" t="inlineStr">
        <is>
          <t>La forme 0/0, qui permet une limite finie, n'est pas disponible.</t>
        </is>
      </c>
    </row>
    <row r="949">
      <c r="A949" s="22" t="inlineStr">
        <is>
          <t>tleD</t>
        </is>
      </c>
      <c r="B949" s="23" t="inlineStr">
        <is>
          <t>F10</t>
        </is>
      </c>
      <c r="C949" s="22" t="inlineStr">
        <is>
          <t>F.LIM</t>
        </is>
      </c>
      <c r="D949" s="23" t="inlineStr">
        <is>
          <t>RED</t>
        </is>
      </c>
      <c r="E949" s="22" t="inlineStr">
        <is>
          <t>Ecrit « Issouf a tort » sans étudier les limites à gauche et à droite</t>
        </is>
      </c>
      <c r="F949" s="22" t="inlineStr">
        <is>
          <t>Le jugement est juste mais il n'est pas justifié par les deux limites latérales.</t>
        </is>
      </c>
    </row>
    <row r="950">
      <c r="A950" s="20" t="inlineStr">
        <is>
          <t>tleD</t>
        </is>
      </c>
      <c r="B950" s="21" t="inlineStr">
        <is>
          <t>F11</t>
        </is>
      </c>
      <c r="C950" s="20" t="inlineStr">
        <is>
          <t>F.ASY</t>
        </is>
      </c>
      <c r="D950" s="21" t="inlineStr">
        <is>
          <t>CNS</t>
        </is>
      </c>
      <c r="E950" s="20" t="inlineStr">
        <is>
          <t>Donne seulement l'asymptote x = 1</t>
        </is>
      </c>
      <c r="F950" s="20" t="inlineStr">
        <is>
          <t>L'asymptote oblique lue sur l'écriture 2x - 1 + 3/(x - 1) n'est pas disponible.</t>
        </is>
      </c>
    </row>
    <row r="951">
      <c r="A951" s="22" t="inlineStr">
        <is>
          <t>tleD</t>
        </is>
      </c>
      <c r="B951" s="23" t="inlineStr">
        <is>
          <t>F11</t>
        </is>
      </c>
      <c r="C951" s="22" t="inlineStr">
        <is>
          <t>F.ASY</t>
        </is>
      </c>
      <c r="D951" s="23" t="inlineStr">
        <is>
          <t>PRC</t>
        </is>
      </c>
      <c r="E951" s="22" t="inlineStr">
        <is>
          <t>Ecrit asymptote verticale x = -1</t>
        </is>
      </c>
      <c r="F951" s="22" t="inlineStr">
        <is>
          <t>La valeur interdite de x - 1 est obtenue avec le mauvais signe.</t>
        </is>
      </c>
    </row>
    <row r="952">
      <c r="A952" s="20" t="inlineStr">
        <is>
          <t>tleD</t>
        </is>
      </c>
      <c r="B952" s="21" t="inlineStr">
        <is>
          <t>F11</t>
        </is>
      </c>
      <c r="C952" s="20" t="inlineStr">
        <is>
          <t>F.ASY</t>
        </is>
      </c>
      <c r="D952" s="21" t="inlineStr">
        <is>
          <t>CPT</t>
        </is>
      </c>
      <c r="E952" s="20" t="inlineStr">
        <is>
          <t>Ecrit « Rakieta a raison car f(x) - (2x - 1) tend vers 0 »</t>
        </is>
      </c>
      <c r="F952" s="20" t="inlineStr">
        <is>
          <t>« Tendre vers 0 » est confondu avec « s'annuler » : une asymptote serait atteinte par la courbe.</t>
        </is>
      </c>
    </row>
    <row r="953">
      <c r="A953" s="22" t="inlineStr">
        <is>
          <t>tleD</t>
        </is>
      </c>
      <c r="B953" s="23" t="inlineStr">
        <is>
          <t>F11</t>
        </is>
      </c>
      <c r="C953" s="22" t="inlineStr">
        <is>
          <t>F.ASY</t>
        </is>
      </c>
      <c r="D953" s="23" t="inlineStr">
        <is>
          <t>RED</t>
        </is>
      </c>
      <c r="E953" s="22" t="inlineStr">
        <is>
          <t>Ecrit « Rakieta a tort » sans écrire f(x) - (2x - 1) = 3/(x - 1) ≠ 0</t>
        </is>
      </c>
      <c r="F953" s="22" t="inlineStr">
        <is>
          <t>La conclusion est juste mais la différence qui la prouve n'est pas étudiée.</t>
        </is>
      </c>
    </row>
    <row r="954">
      <c r="A954" s="20" t="inlineStr">
        <is>
          <t>tleD</t>
        </is>
      </c>
      <c r="B954" s="21" t="inlineStr">
        <is>
          <t>F12</t>
        </is>
      </c>
      <c r="C954" s="20" t="inlineStr">
        <is>
          <t>F.DER</t>
        </is>
      </c>
      <c r="D954" s="21" t="inlineStr">
        <is>
          <t>PRC</t>
        </is>
      </c>
      <c r="E954" s="20" t="inlineStr">
        <is>
          <t>Ecrit a = 2, b = 1, puis f'(2) = 21</t>
        </is>
      </c>
      <c r="F954" s="20" t="inlineStr">
        <is>
          <t>Le système est bien posé mais 4 + 2a = 0 est résolu avec une erreur de signe ; f'(2) = 12 + 8 + 1 suit.</t>
        </is>
      </c>
    </row>
    <row r="955">
      <c r="A955" s="22" t="inlineStr">
        <is>
          <t>tleD</t>
        </is>
      </c>
      <c r="B955" s="23" t="inlineStr">
        <is>
          <t>F12</t>
        </is>
      </c>
      <c r="C955" s="22" t="inlineStr">
        <is>
          <t>F.DER</t>
        </is>
      </c>
      <c r="D955" s="23" t="inlineStr">
        <is>
          <t>CPT</t>
        </is>
      </c>
      <c r="E955" s="22" t="inlineStr">
        <is>
          <t>Ecrit 1 + a + b = 0 (condition posée sur f(1) au lieu de f'(1))</t>
        </is>
      </c>
      <c r="F955" s="22" t="inlineStr">
        <is>
          <t>f et f' sont confondues dans la traduction des conditions.</t>
        </is>
      </c>
    </row>
    <row r="956">
      <c r="A956" s="20" t="inlineStr">
        <is>
          <t>tleD</t>
        </is>
      </c>
      <c r="B956" s="21" t="inlineStr">
        <is>
          <t>F12</t>
        </is>
      </c>
      <c r="C956" s="20" t="inlineStr">
        <is>
          <t>F.DER</t>
        </is>
      </c>
      <c r="D956" s="21" t="inlineStr">
        <is>
          <t>CNS</t>
        </is>
      </c>
      <c r="E956" s="20" t="inlineStr">
        <is>
          <t>Ecrit f'(x) = 3x² + ax + b, puis a = -4 et f'(2) = 5</t>
        </is>
      </c>
      <c r="F956" s="20" t="inlineStr">
        <is>
          <t>La dérivée de ax² est retenue comme ax : formule fausse assumée ; f'(2) = 12 - 8 + 1 = 5 tombe juste par hasard.</t>
        </is>
      </c>
    </row>
    <row r="957">
      <c r="A957" s="22" t="inlineStr">
        <is>
          <t>tleD</t>
        </is>
      </c>
      <c r="B957" s="23" t="inlineStr">
        <is>
          <t>F12</t>
        </is>
      </c>
      <c r="C957" s="22" t="inlineStr">
        <is>
          <t>F.DER</t>
        </is>
      </c>
      <c r="D957" s="23" t="inlineStr">
        <is>
          <t>RED</t>
        </is>
      </c>
      <c r="E957" s="22" t="inlineStr">
        <is>
          <t>Donne a = -2, b = 1 et f'(2) = 5 sans écrire f'(x) ni les deux équations</t>
        </is>
      </c>
      <c r="F957" s="22" t="inlineStr">
        <is>
          <t>Les valeurs sont justes mais la traduction des conditions n'est pas montrée.</t>
        </is>
      </c>
    </row>
    <row r="958">
      <c r="A958" s="20" t="inlineStr">
        <is>
          <t>tleD</t>
        </is>
      </c>
      <c r="B958" s="21" t="inlineStr">
        <is>
          <t>F13</t>
        </is>
      </c>
      <c r="C958" s="20" t="inlineStr">
        <is>
          <t>F.TAN</t>
        </is>
      </c>
      <c r="D958" s="21" t="inlineStr">
        <is>
          <t>CPT</t>
        </is>
      </c>
      <c r="E958" s="20" t="inlineStr">
        <is>
          <t>Ecrit x³ - 3x² + 2 = -3x + 1</t>
        </is>
      </c>
      <c r="F958" s="20" t="inlineStr">
        <is>
          <t>Le parallélisme est traduit par une intersection de la courbe et de la droite, et non par f'(x) = -3.</t>
        </is>
      </c>
    </row>
    <row r="959">
      <c r="A959" s="22" t="inlineStr">
        <is>
          <t>tleD</t>
        </is>
      </c>
      <c r="B959" s="23" t="inlineStr">
        <is>
          <t>F13</t>
        </is>
      </c>
      <c r="C959" s="22" t="inlineStr">
        <is>
          <t>F.TAN</t>
        </is>
      </c>
      <c r="D959" s="23" t="inlineStr">
        <is>
          <t>PRC</t>
        </is>
      </c>
      <c r="E959" s="22" t="inlineStr">
        <is>
          <t>Ecrit x = -1, puis y = -3x - 5</t>
        </is>
      </c>
      <c r="F959" s="22" t="inlineStr">
        <is>
          <t>f'(x) = -3 est bien posé mais la racine double de x² - 2x + 1 est prise égale à -1 ; f(-1) = -2 suit.</t>
        </is>
      </c>
    </row>
    <row r="960">
      <c r="A960" s="20" t="inlineStr">
        <is>
          <t>tleD</t>
        </is>
      </c>
      <c r="B960" s="21" t="inlineStr">
        <is>
          <t>F13</t>
        </is>
      </c>
      <c r="C960" s="20" t="inlineStr">
        <is>
          <t>F.TAN</t>
        </is>
      </c>
      <c r="D960" s="21" t="inlineStr">
        <is>
          <t>CNS</t>
        </is>
      </c>
      <c r="E960" s="20" t="inlineStr">
        <is>
          <t>Ecrit y = -3x</t>
        </is>
      </c>
      <c r="F960" s="20" t="inlineStr">
        <is>
          <t>La formule de la tangente est retenue comme y = f'(a)x + f(a) sans le terme (x - a).</t>
        </is>
      </c>
    </row>
    <row r="961">
      <c r="A961" s="22" t="inlineStr">
        <is>
          <t>tleD</t>
        </is>
      </c>
      <c r="B961" s="23" t="inlineStr">
        <is>
          <t>F13</t>
        </is>
      </c>
      <c r="C961" s="22" t="inlineStr">
        <is>
          <t>F.TAN</t>
        </is>
      </c>
      <c r="D961" s="23" t="inlineStr">
        <is>
          <t>RED</t>
        </is>
      </c>
      <c r="E961" s="22" t="inlineStr">
        <is>
          <t>Ecrit y = -3x + 3 sans établir f'(1) = -3 ni f(1) = 0</t>
        </is>
      </c>
      <c r="F961" s="22" t="inlineStr">
        <is>
          <t>Le résultat est juste mais la condition de parallélisme qui le fonde n'est pas écrite.</t>
        </is>
      </c>
    </row>
    <row r="962">
      <c r="A962" s="20" t="inlineStr">
        <is>
          <t>tleD</t>
        </is>
      </c>
      <c r="B962" s="21" t="inlineStr">
        <is>
          <t>F14</t>
        </is>
      </c>
      <c r="C962" s="20" t="inlineStr">
        <is>
          <t>F.VAR</t>
        </is>
      </c>
      <c r="D962" s="21" t="inlineStr">
        <is>
          <t>PRQ</t>
        </is>
      </c>
      <c r="E962" s="20" t="inlineStr">
        <is>
          <t>Ecrit « x - 1 ≤ 0 et x - 2 &lt; 0, donc f'(x) ≤ 0, f décroissante »</t>
        </is>
      </c>
      <c r="F962" s="20" t="inlineStr">
        <is>
          <t>Le produit de deux facteurs négatifs est déclaré négatif : acquis en cause, la règle des signes d'un produit (4e).</t>
        </is>
      </c>
    </row>
    <row r="963">
      <c r="A963" s="22" t="inlineStr">
        <is>
          <t>tleD</t>
        </is>
      </c>
      <c r="B963" s="23" t="inlineStr">
        <is>
          <t>F14</t>
        </is>
      </c>
      <c r="C963" s="22" t="inlineStr">
        <is>
          <t>F.VAR</t>
        </is>
      </c>
      <c r="D963" s="23" t="inlineStr">
        <is>
          <t>PRC</t>
        </is>
      </c>
      <c r="E963" s="22" t="inlineStr">
        <is>
          <t>Ecrit x - 1 ≥ 0 sur [0 ; 1], donc f'(x) ≤ 0</t>
        </is>
      </c>
      <c r="F963" s="22" t="inlineStr">
        <is>
          <t>La démarche par le signe des facteurs est bonne mais le signe de x - 1 sur [0 ; 1] est faux.</t>
        </is>
      </c>
    </row>
    <row r="964">
      <c r="A964" s="20" t="inlineStr">
        <is>
          <t>tleD</t>
        </is>
      </c>
      <c r="B964" s="21" t="inlineStr">
        <is>
          <t>F14</t>
        </is>
      </c>
      <c r="C964" s="20" t="inlineStr">
        <is>
          <t>F.VAR</t>
        </is>
      </c>
      <c r="D964" s="21" t="inlineStr">
        <is>
          <t>CPT</t>
        </is>
      </c>
      <c r="E964" s="20" t="inlineStr">
        <is>
          <t>Ecrit « Sibiri a raison car f(0) = 0 &lt; f(3) = 9 »</t>
        </is>
      </c>
      <c r="F964" s="20" t="inlineStr">
        <is>
          <t>La monotonie sur un intervalle est déduite de la seule comparaison des images aux bornes.</t>
        </is>
      </c>
    </row>
    <row r="965">
      <c r="A965" s="22" t="inlineStr">
        <is>
          <t>tleD</t>
        </is>
      </c>
      <c r="B965" s="23" t="inlineStr">
        <is>
          <t>F14</t>
        </is>
      </c>
      <c r="C965" s="22" t="inlineStr">
        <is>
          <t>F.VAR</t>
        </is>
      </c>
      <c r="D965" s="23" t="inlineStr">
        <is>
          <t>RED</t>
        </is>
      </c>
      <c r="E965" s="22" t="inlineStr">
        <is>
          <t>Ecrit « Sibiri a tort » sans intervalle où f' &lt; 0 ni contre-exemple</t>
        </is>
      </c>
      <c r="F965" s="22" t="inlineStr">
        <is>
          <t>Le jugement est juste mais il n'est appuyé sur aucun argument.</t>
        </is>
      </c>
    </row>
    <row r="966">
      <c r="A966" s="20" t="inlineStr">
        <is>
          <t>tleD</t>
        </is>
      </c>
      <c r="B966" s="21" t="inlineStr">
        <is>
          <t>S4</t>
        </is>
      </c>
      <c r="C966" s="20" t="inlineStr">
        <is>
          <t>S.SUI</t>
        </is>
      </c>
      <c r="D966" s="21" t="inlineStr">
        <is>
          <t>CPT</t>
        </is>
      </c>
      <c r="E966" s="20" t="inlineStr">
        <is>
          <t>Ecrit r = 15, puis n = 9,2 et « 100 n'est pas un terme »</t>
        </is>
      </c>
      <c r="F966" s="20" t="inlineStr">
        <is>
          <t>La raison est prise égale à u₈ - u₃ sans division par l'écart des indices 5.</t>
        </is>
      </c>
    </row>
    <row r="967">
      <c r="A967" s="22" t="inlineStr">
        <is>
          <t>tleD</t>
        </is>
      </c>
      <c r="B967" s="23" t="inlineStr">
        <is>
          <t>S4</t>
        </is>
      </c>
      <c r="C967" s="22" t="inlineStr">
        <is>
          <t>S.SUI</t>
        </is>
      </c>
      <c r="D967" s="23" t="inlineStr">
        <is>
          <t>PRC</t>
        </is>
      </c>
      <c r="E967" s="22" t="inlineStr">
        <is>
          <t>Ecrit uₙ = 3n + 4 et 100 = u₃₂</t>
        </is>
      </c>
      <c r="F967" s="22" t="inlineStr">
        <is>
          <t>La raison est juste mais 7 + 3(n - 3) est développé en 7 + 3n - 3.</t>
        </is>
      </c>
    </row>
    <row r="968">
      <c r="A968" s="20" t="inlineStr">
        <is>
          <t>tleD</t>
        </is>
      </c>
      <c r="B968" s="21" t="inlineStr">
        <is>
          <t>S4</t>
        </is>
      </c>
      <c r="C968" s="20" t="inlineStr">
        <is>
          <t>S.SUI</t>
        </is>
      </c>
      <c r="D968" s="21" t="inlineStr">
        <is>
          <t>CNS</t>
        </is>
      </c>
      <c r="E968" s="20" t="inlineStr">
        <is>
          <t>Ecrit uₙ = u₀ + nr puis s'arrête faute de u₀</t>
        </is>
      </c>
      <c r="F968" s="20" t="inlineStr">
        <is>
          <t>La relation u(p) = u(q) + (p - q)r n'est pas disponible.</t>
        </is>
      </c>
    </row>
    <row r="969">
      <c r="A969" s="22" t="inlineStr">
        <is>
          <t>tleD</t>
        </is>
      </c>
      <c r="B969" s="23" t="inlineStr">
        <is>
          <t>S4</t>
        </is>
      </c>
      <c r="C969" s="22" t="inlineStr">
        <is>
          <t>S.SUI</t>
        </is>
      </c>
      <c r="D969" s="23" t="inlineStr">
        <is>
          <t>RED</t>
        </is>
      </c>
      <c r="E969" s="22" t="inlineStr">
        <is>
          <t>Ecrit n = 34 sans conclure que 34 est un entier naturel</t>
        </is>
      </c>
      <c r="F969" s="22" t="inlineStr">
        <is>
          <t>Le calcul est juste mais la condition qui décide (n entier naturel) n'est pas discutée.</t>
        </is>
      </c>
    </row>
    <row r="970">
      <c r="A970" s="20" t="inlineStr">
        <is>
          <t>tleD</t>
        </is>
      </c>
      <c r="B970" s="21" t="inlineStr">
        <is>
          <t>S5</t>
        </is>
      </c>
      <c r="C970" s="20" t="inlineStr">
        <is>
          <t>N.PUI</t>
        </is>
      </c>
      <c r="D970" s="21" t="inlineStr">
        <is>
          <t>PRQ</t>
        </is>
      </c>
      <c r="E970" s="20" t="inlineStr">
        <is>
          <t>Ecrit uₙ₊₁ = 6 × 3ⁿ - 1 et conclut que l'égalité n'est pas établie</t>
        </is>
      </c>
      <c r="F970" s="20" t="inlineStr">
        <is>
          <t>6 × 3ⁿ n'est pas reconnu comme 2 × 3ⁿ⁺¹ : acquis en cause, la règle a × aⁿ = aⁿ⁺¹ (4e).</t>
        </is>
      </c>
    </row>
    <row r="971">
      <c r="A971" s="22" t="inlineStr">
        <is>
          <t>tleD</t>
        </is>
      </c>
      <c r="B971" s="23" t="inlineStr">
        <is>
          <t>S5</t>
        </is>
      </c>
      <c r="C971" s="22" t="inlineStr">
        <is>
          <t>S.REC</t>
        </is>
      </c>
      <c r="D971" s="23" t="inlineStr">
        <is>
          <t>PRC</t>
        </is>
      </c>
      <c r="E971" s="22" t="inlineStr">
        <is>
          <t>Ecrit uₙ₊₁ = 2 × 3ⁿ⁺¹ + 1</t>
        </is>
      </c>
      <c r="F971" s="22" t="inlineStr">
        <is>
          <t>L'hypothèse est bien substituée mais 3 × (-1) est oublié dans la distribution.</t>
        </is>
      </c>
    </row>
    <row r="972">
      <c r="A972" s="20" t="inlineStr">
        <is>
          <t>tleD</t>
        </is>
      </c>
      <c r="B972" s="21" t="inlineStr">
        <is>
          <t>S5</t>
        </is>
      </c>
      <c r="C972" s="20" t="inlineStr">
        <is>
          <t>S.REC</t>
        </is>
      </c>
      <c r="D972" s="21" t="inlineStr">
        <is>
          <t>CPT</t>
        </is>
      </c>
      <c r="E972" s="20" t="inlineStr">
        <is>
          <t>Ecrit uₙ₊₁ = 2 × 3ⁿ⁺¹ - 1 en remplaçant n par n + 1 dans la formule</t>
        </is>
      </c>
      <c r="F972" s="20" t="inlineStr">
        <is>
          <t>Ce qu'il faut démontrer est supposé : l'hérédité n'est pas comprise comme un calcul à partir de uₙ.</t>
        </is>
      </c>
    </row>
    <row r="973">
      <c r="A973" s="22" t="inlineStr">
        <is>
          <t>tleD</t>
        </is>
      </c>
      <c r="B973" s="23" t="inlineStr">
        <is>
          <t>S5</t>
        </is>
      </c>
      <c r="C973" s="22" t="inlineStr">
        <is>
          <t>S.REC</t>
        </is>
      </c>
      <c r="D973" s="23" t="inlineStr">
        <is>
          <t>CNS</t>
        </is>
      </c>
      <c r="E973" s="22" t="inlineStr">
        <is>
          <t>Ecrit « Aminata a raison »</t>
        </is>
      </c>
      <c r="F973" s="22" t="inlineStr">
        <is>
          <t>La structure en trois temps du raisonnement par récurrence, en particulier l'initialisation, n'est pas disponible.</t>
        </is>
      </c>
    </row>
    <row r="974">
      <c r="A974" s="20" t="inlineStr">
        <is>
          <t>tleD</t>
        </is>
      </c>
      <c r="B974" s="21" t="inlineStr">
        <is>
          <t>S5</t>
        </is>
      </c>
      <c r="C974" s="20" t="inlineStr">
        <is>
          <t>S.REC</t>
        </is>
      </c>
      <c r="D974" s="21" t="inlineStr">
        <is>
          <t>RED</t>
        </is>
      </c>
      <c r="E974" s="20" t="inlineStr">
        <is>
          <t>Ecrit « Aminata a tort » sans nommer l'initialisation</t>
        </is>
      </c>
      <c r="F974" s="20" t="inlineStr">
        <is>
          <t>Le jugement est juste mais ce qui manque à la démonstration n'est pas dit.</t>
        </is>
      </c>
    </row>
    <row r="975">
      <c r="A975" s="22" t="inlineStr">
        <is>
          <t>tleD</t>
        </is>
      </c>
      <c r="B975" s="23" t="inlineStr">
        <is>
          <t>T3</t>
        </is>
      </c>
      <c r="C975" s="22" t="inlineStr">
        <is>
          <t>T.TRIG</t>
        </is>
      </c>
      <c r="D975" s="23" t="inlineStr">
        <is>
          <t>CNS</t>
        </is>
      </c>
      <c r="E975" s="22" t="inlineStr">
        <is>
          <t>Ecrit sin x = 1 - 3/5 = 2/5</t>
        </is>
      </c>
      <c r="F975" s="22" t="inlineStr">
        <is>
          <t>La relation cos²x + sin²x = 1 n'est pas mobilisée : elle est remplacée par cos x + sin x = 1.</t>
        </is>
      </c>
    </row>
    <row r="976">
      <c r="A976" s="20" t="inlineStr">
        <is>
          <t>tleD</t>
        </is>
      </c>
      <c r="B976" s="21" t="inlineStr">
        <is>
          <t>T3</t>
        </is>
      </c>
      <c r="C976" s="20" t="inlineStr">
        <is>
          <t>T.TRIG</t>
        </is>
      </c>
      <c r="D976" s="21" t="inlineStr">
        <is>
          <t>CPT</t>
        </is>
      </c>
      <c r="E976" s="20" t="inlineStr">
        <is>
          <t>Ecrit sin(x + π/3) = 4/5 + √3/2 = (8 + 5√3)/10</t>
        </is>
      </c>
      <c r="F976" s="20" t="inlineStr">
        <is>
          <t>Le sinus est traité comme linéaire : sin(a + b) = sin a + sin b.</t>
        </is>
      </c>
    </row>
    <row r="977">
      <c r="A977" s="22" t="inlineStr">
        <is>
          <t>tleD</t>
        </is>
      </c>
      <c r="B977" s="23" t="inlineStr">
        <is>
          <t>T3</t>
        </is>
      </c>
      <c r="C977" s="22" t="inlineStr">
        <is>
          <t>T.TRIG</t>
        </is>
      </c>
      <c r="D977" s="23" t="inlineStr">
        <is>
          <t>PRQ</t>
        </is>
      </c>
      <c r="E977" s="22" t="inlineStr">
        <is>
          <t>Ecrit sin(x + π/3) = (3 + 4√3)/10</t>
        </is>
      </c>
      <c r="F977" s="22" t="inlineStr">
        <is>
          <t>cos(π/3) et sin(π/3) sont échangés dans la formule : acquis en cause, les valeurs remarquables (2nde).</t>
        </is>
      </c>
    </row>
    <row r="978">
      <c r="A978" s="20" t="inlineStr">
        <is>
          <t>tleD</t>
        </is>
      </c>
      <c r="B978" s="21" t="inlineStr">
        <is>
          <t>T3</t>
        </is>
      </c>
      <c r="C978" s="20" t="inlineStr">
        <is>
          <t>T.TRIG</t>
        </is>
      </c>
      <c r="D978" s="21" t="inlineStr">
        <is>
          <t>PRC</t>
        </is>
      </c>
      <c r="E978" s="20" t="inlineStr">
        <is>
          <t>Ecrit sin(x + π/3) = (2 + 3√3)/10</t>
        </is>
      </c>
      <c r="F978" s="20" t="inlineStr">
        <is>
          <t>Formule et valeurs justes, mais 2/5 + 3√3/10 est additionné sans mettre 2/5 sur 10.</t>
        </is>
      </c>
    </row>
    <row r="979">
      <c r="A979" s="22" t="inlineStr">
        <is>
          <t>tleD</t>
        </is>
      </c>
      <c r="B979" s="23" t="inlineStr">
        <is>
          <t>T3</t>
        </is>
      </c>
      <c r="C979" s="22" t="inlineStr">
        <is>
          <t>T.TRIG</t>
        </is>
      </c>
      <c r="D979" s="23" t="inlineStr">
        <is>
          <t>RED</t>
        </is>
      </c>
      <c r="E979" s="22" t="inlineStr">
        <is>
          <t>Ecrit sin x = 4/5 sans justifier le signe par x dans ]0 ; π/2[</t>
        </is>
      </c>
      <c r="F979" s="22" t="inlineStr">
        <is>
          <t>La valeur est juste mais le choix entre 4/5 et -4/5, objet de la question, n'est pas justifié.</t>
        </is>
      </c>
    </row>
    <row r="980">
      <c r="A980" s="20" t="inlineStr">
        <is>
          <t>tleD</t>
        </is>
      </c>
      <c r="B980" s="21" t="inlineStr">
        <is>
          <t>D2</t>
        </is>
      </c>
      <c r="C980" s="20" t="inlineStr">
        <is>
          <t>D.DEN</t>
        </is>
      </c>
      <c r="D980" s="21" t="inlineStr">
        <is>
          <t>MOD</t>
        </is>
      </c>
      <c r="E980" s="20" t="inlineStr">
        <is>
          <t>Ecrit 60 comités</t>
        </is>
      </c>
      <c r="F980" s="20" t="inlineStr">
        <is>
          <t>« Au moins 4 femmes » est traduit par « exactement 4 femmes » : le cas de 5 femmes est oublié.</t>
        </is>
      </c>
    </row>
    <row r="981">
      <c r="A981" s="22" t="inlineStr">
        <is>
          <t>tleD</t>
        </is>
      </c>
      <c r="B981" s="23" t="inlineStr">
        <is>
          <t>D2</t>
        </is>
      </c>
      <c r="C981" s="22" t="inlineStr">
        <is>
          <t>D.DEN</t>
        </is>
      </c>
      <c r="D981" s="23" t="inlineStr">
        <is>
          <t>MOD</t>
        </is>
      </c>
      <c r="E981" s="22" t="inlineStr">
        <is>
          <t>Ecrit 15 + 6 = 21 comités</t>
        </is>
      </c>
      <c r="F981" s="22" t="inlineStr">
        <is>
          <t>Le choix de l'homme qui complète le comité de 4 femmes n'est pas modélisé.</t>
        </is>
      </c>
    </row>
    <row r="982">
      <c r="A982" s="20" t="inlineStr">
        <is>
          <t>tleD</t>
        </is>
      </c>
      <c r="B982" s="21" t="inlineStr">
        <is>
          <t>D2</t>
        </is>
      </c>
      <c r="C982" s="20" t="inlineStr">
        <is>
          <t>D.DEN</t>
        </is>
      </c>
      <c r="D982" s="21" t="inlineStr">
        <is>
          <t>CPT</t>
        </is>
      </c>
      <c r="E982" s="20" t="inlineStr">
        <is>
          <t>Ecrit 15 + 4 + 6 = 25 comités</t>
        </is>
      </c>
      <c r="F982" s="20" t="inlineStr">
        <is>
          <t>Deux choix simultanés dans deux groupes sont additionnés au lieu d'être multipliés.</t>
        </is>
      </c>
    </row>
    <row r="983">
      <c r="A983" s="22" t="inlineStr">
        <is>
          <t>tleD</t>
        </is>
      </c>
      <c r="B983" s="23" t="inlineStr">
        <is>
          <t>D2</t>
        </is>
      </c>
      <c r="C983" s="22" t="inlineStr">
        <is>
          <t>D.DEN</t>
        </is>
      </c>
      <c r="D983" s="23" t="inlineStr">
        <is>
          <t>PRC</t>
        </is>
      </c>
      <c r="E983" s="22" t="inlineStr">
        <is>
          <t>Ecrit 20 × 4 + 6 = 86 comités</t>
        </is>
      </c>
      <c r="F983" s="22" t="inlineStr">
        <is>
          <t>La décomposition est juste mais C₆⁴ est calculé comme C₆³ = 20.</t>
        </is>
      </c>
    </row>
    <row r="984">
      <c r="A984" s="20" t="inlineStr">
        <is>
          <t>tleD</t>
        </is>
      </c>
      <c r="B984" s="21" t="inlineStr">
        <is>
          <t>D2</t>
        </is>
      </c>
      <c r="C984" s="20" t="inlineStr">
        <is>
          <t>D.DEN</t>
        </is>
      </c>
      <c r="D984" s="21" t="inlineStr">
        <is>
          <t>RED</t>
        </is>
      </c>
      <c r="E984" s="20" t="inlineStr">
        <is>
          <t>Ecrit 66 sans décomposer en cas disjoints</t>
        </is>
      </c>
      <c r="F984" s="20" t="inlineStr">
        <is>
          <t>Le total est juste mais la décomposition en cas, que la question observe, n'apparaît pas.</t>
        </is>
      </c>
    </row>
    <row r="985">
      <c r="A985" s="22" t="inlineStr">
        <is>
          <t>tleD</t>
        </is>
      </c>
      <c r="B985" s="23" t="inlineStr">
        <is>
          <t>G3</t>
        </is>
      </c>
      <c r="C985" s="22" t="inlineStr">
        <is>
          <t>G.ESP</t>
        </is>
      </c>
      <c r="D985" s="23" t="inlineStr">
        <is>
          <t>CPT</t>
        </is>
      </c>
      <c r="E985" s="22" t="inlineStr">
        <is>
          <t>Ecrit AE = 13 - 5 = 8 cm</t>
        </is>
      </c>
      <c r="F985" s="22" t="inlineStr">
        <is>
          <t>Les longueurs sont soustraites au lieu de leurs carrés : Pythagore est appliqué aux longueurs.</t>
        </is>
      </c>
    </row>
    <row r="986">
      <c r="A986" s="20" t="inlineStr">
        <is>
          <t>tleD</t>
        </is>
      </c>
      <c r="B986" s="21" t="inlineStr">
        <is>
          <t>G3</t>
        </is>
      </c>
      <c r="C986" s="20" t="inlineStr">
        <is>
          <t>G.ESP</t>
        </is>
      </c>
      <c r="D986" s="21" t="inlineStr">
        <is>
          <t>MOD</t>
        </is>
      </c>
      <c r="E986" s="20" t="inlineStr">
        <is>
          <t>Ecrit AE² = 169 + 25 = 194, AE = √194 cm</t>
        </is>
      </c>
      <c r="F986" s="20" t="inlineStr">
        <is>
          <t>[AG] n'est pas reconnue comme l'hypoténuse du triangle ACG : la configuration du pavé n'est pas traduite.</t>
        </is>
      </c>
    </row>
    <row r="987">
      <c r="A987" s="22" t="inlineStr">
        <is>
          <t>tleD</t>
        </is>
      </c>
      <c r="B987" s="23" t="inlineStr">
        <is>
          <t>G3</t>
        </is>
      </c>
      <c r="C987" s="22" t="inlineStr">
        <is>
          <t>G.ESP</t>
        </is>
      </c>
      <c r="D987" s="23" t="inlineStr">
        <is>
          <t>PRQ</t>
        </is>
      </c>
      <c r="E987" s="22" t="inlineStr">
        <is>
          <t>Ecrit AE² = 26 - 10 = 16, AE = 4 cm</t>
        </is>
      </c>
      <c r="F987" s="22" t="inlineStr">
        <is>
          <t>Les carrés sont calculés comme des doubles : acquis en cause, le carré d'un nombre (collège).</t>
        </is>
      </c>
    </row>
    <row r="988">
      <c r="A988" s="20" t="inlineStr">
        <is>
          <t>tleD</t>
        </is>
      </c>
      <c r="B988" s="21" t="inlineStr">
        <is>
          <t>G3</t>
        </is>
      </c>
      <c r="C988" s="20" t="inlineStr">
        <is>
          <t>G.ESP</t>
        </is>
      </c>
      <c r="D988" s="21" t="inlineStr">
        <is>
          <t>CNS</t>
        </is>
      </c>
      <c r="E988" s="20" t="inlineStr">
        <is>
          <t>Ecrit « Boukary a tort, l'angle droit est en B »</t>
        </is>
      </c>
      <c r="F988" s="20" t="inlineStr">
        <is>
          <t>La propriété « une droite perpendiculaire à un plan est perpendiculaire à toute droite de ce plan » n'est pas disponible.</t>
        </is>
      </c>
    </row>
    <row r="989">
      <c r="A989" s="22" t="inlineStr">
        <is>
          <t>tleD</t>
        </is>
      </c>
      <c r="B989" s="23" t="inlineStr">
        <is>
          <t>G3</t>
        </is>
      </c>
      <c r="C989" s="22" t="inlineStr">
        <is>
          <t>G.ESP</t>
        </is>
      </c>
      <c r="D989" s="23" t="inlineStr">
        <is>
          <t>RED</t>
        </is>
      </c>
      <c r="E989" s="22" t="inlineStr">
        <is>
          <t>Ecrit « Boukary a raison » sans invoquer (CG) perpendiculaire au plan (ABC)</t>
        </is>
      </c>
      <c r="F989" s="22" t="inlineStr">
        <is>
          <t>Le jugement est juste mais il n'est pas justifié.</t>
        </is>
      </c>
    </row>
    <row r="990">
      <c r="A990" s="20" t="inlineStr">
        <is>
          <t>tleD</t>
        </is>
      </c>
      <c r="B990" s="21" t="inlineStr">
        <is>
          <t>P1.1</t>
        </is>
      </c>
      <c r="C990" s="20" t="inlineStr">
        <is>
          <t>S.SUI</t>
        </is>
      </c>
      <c r="D990" s="21" t="inlineStr">
        <is>
          <t>MOD</t>
        </is>
      </c>
      <c r="E990" s="20" t="inlineStr">
        <is>
          <t>Ecrit u₂ = 12 et u₃ = 24</t>
        </is>
      </c>
      <c r="F990" s="20" t="inlineStr">
        <is>
          <t>La relation est traduite par uₙ₊₁ = 3(uₙ - 4) : l'ordre « tripler puis retirer 4 » n'est pas respecté.</t>
        </is>
      </c>
    </row>
    <row r="991">
      <c r="A991" s="22" t="inlineStr">
        <is>
          <t>tleD</t>
        </is>
      </c>
      <c r="B991" s="23" t="inlineStr">
        <is>
          <t>P1.1</t>
        </is>
      </c>
      <c r="C991" s="22" t="inlineStr">
        <is>
          <t>S.SUI</t>
        </is>
      </c>
      <c r="D991" s="23" t="inlineStr">
        <is>
          <t>MOD</t>
        </is>
      </c>
      <c r="E991" s="22" t="inlineStr">
        <is>
          <t>Ecrit u₂ = 24 et u₃ = 72</t>
        </is>
      </c>
      <c r="F991" s="22" t="inlineStr">
        <is>
          <t>Le retrait de 4 ruches chaque année n'est pas pris en compte : seule la multiplication par 3 est modélisée.</t>
        </is>
      </c>
    </row>
    <row r="992">
      <c r="A992" s="20" t="inlineStr">
        <is>
          <t>tleD</t>
        </is>
      </c>
      <c r="B992" s="21" t="inlineStr">
        <is>
          <t>P1.1</t>
        </is>
      </c>
      <c r="C992" s="20" t="inlineStr">
        <is>
          <t>S.SUI</t>
        </is>
      </c>
      <c r="D992" s="21" t="inlineStr">
        <is>
          <t>CPT</t>
        </is>
      </c>
      <c r="E992" s="20" t="inlineStr">
        <is>
          <t>Ecrit u₂ = 20 et u₃ = 9 × 8 - 4 = 68</t>
        </is>
      </c>
      <c r="F992" s="20" t="inlineStr">
        <is>
          <t>u₃ est calculé à partir de u₁ comme si la suite était géométrique : la relation de récurrence n'est pas itérée.</t>
        </is>
      </c>
    </row>
    <row r="993">
      <c r="A993" s="22" t="inlineStr">
        <is>
          <t>tleD</t>
        </is>
      </c>
      <c r="B993" s="23" t="inlineStr">
        <is>
          <t>P1.1</t>
        </is>
      </c>
      <c r="C993" s="22" t="inlineStr">
        <is>
          <t>S.SUI</t>
        </is>
      </c>
      <c r="D993" s="23" t="inlineStr">
        <is>
          <t>RED</t>
        </is>
      </c>
      <c r="E993" s="22" t="inlineStr">
        <is>
          <t>Ecrit u₂ = 20 et u₃ = 56 sans écrire la relation uₙ₊₁ = 3uₙ - 4</t>
        </is>
      </c>
      <c r="F993" s="22" t="inlineStr">
        <is>
          <t>Les valeurs sont justes mais la relation qui les produit n'est pas écrite.</t>
        </is>
      </c>
    </row>
    <row r="994">
      <c r="A994" s="20" t="inlineStr">
        <is>
          <t>tleD</t>
        </is>
      </c>
      <c r="B994" s="21" t="inlineStr">
        <is>
          <t>P1.2</t>
        </is>
      </c>
      <c r="C994" s="20" t="inlineStr">
        <is>
          <t>S.REC</t>
        </is>
      </c>
      <c r="D994" s="21" t="inlineStr">
        <is>
          <t>CPT</t>
        </is>
      </c>
      <c r="E994" s="20" t="inlineStr">
        <is>
          <t>Ecrit uₙ₊₁ = 2 × 3ⁿ⁺¹ + 2 en remplaçant n par n + 1</t>
        </is>
      </c>
      <c r="F994" s="20" t="inlineStr">
        <is>
          <t>Ce qu'il faut démontrer est supposé : l'hérédité n'est pas menée à partir de uₙ₊₁ = 3uₙ - 4.</t>
        </is>
      </c>
    </row>
    <row r="995">
      <c r="A995" s="22" t="inlineStr">
        <is>
          <t>tleD</t>
        </is>
      </c>
      <c r="B995" s="23" t="inlineStr">
        <is>
          <t>P1.2</t>
        </is>
      </c>
      <c r="C995" s="22" t="inlineStr">
        <is>
          <t>N.PUI</t>
        </is>
      </c>
      <c r="D995" s="23" t="inlineStr">
        <is>
          <t>PRQ</t>
        </is>
      </c>
      <c r="E995" s="22" t="inlineStr">
        <is>
          <t>Ecrit uₙ₊₁ = 6ⁿ⁺¹ + 2</t>
        </is>
      </c>
      <c r="F995" s="22" t="inlineStr">
        <is>
          <t>6 × 3ⁿ est écrit 6ⁿ⁺¹ : acquis en cause, la règle a × aⁿ = aⁿ⁺¹ (4e).</t>
        </is>
      </c>
    </row>
    <row r="996">
      <c r="A996" s="20" t="inlineStr">
        <is>
          <t>tleD</t>
        </is>
      </c>
      <c r="B996" s="21" t="inlineStr">
        <is>
          <t>P1.2</t>
        </is>
      </c>
      <c r="C996" s="20" t="inlineStr">
        <is>
          <t>S.REC</t>
        </is>
      </c>
      <c r="D996" s="21" t="inlineStr">
        <is>
          <t>PRC</t>
        </is>
      </c>
      <c r="E996" s="20" t="inlineStr">
        <is>
          <t>Ecrit uₙ₊₁ = 2 × 3ⁿ⁺¹ - 2</t>
        </is>
      </c>
      <c r="F996" s="20" t="inlineStr">
        <is>
          <t>L'hypothèse est bien substituée mais le facteur 3 n'est pas distribué sur le +2 : 3 × 2 × 3ⁿ + 2 - 4.</t>
        </is>
      </c>
    </row>
    <row r="997">
      <c r="A997" s="22" t="inlineStr">
        <is>
          <t>tleD</t>
        </is>
      </c>
      <c r="B997" s="23" t="inlineStr">
        <is>
          <t>P1.2</t>
        </is>
      </c>
      <c r="C997" s="22" t="inlineStr">
        <is>
          <t>S.REC</t>
        </is>
      </c>
      <c r="D997" s="23" t="inlineStr">
        <is>
          <t>CNS</t>
        </is>
      </c>
      <c r="E997" s="22" t="inlineStr">
        <is>
          <t>Vérifie la formule pour n = 2 et n = 3 (20 et 56) et conclut</t>
        </is>
      </c>
      <c r="F997" s="22" t="inlineStr">
        <is>
          <t>Le raisonnement par récurrence n'est pas mobilisé : une vérification sur des exemples tient lieu de preuve.</t>
        </is>
      </c>
    </row>
    <row r="998">
      <c r="A998" s="20" t="inlineStr">
        <is>
          <t>tleD</t>
        </is>
      </c>
      <c r="B998" s="21" t="inlineStr">
        <is>
          <t>P1.2</t>
        </is>
      </c>
      <c r="C998" s="20" t="inlineStr">
        <is>
          <t>S.REC</t>
        </is>
      </c>
      <c r="D998" s="21" t="inlineStr">
        <is>
          <t>RED</t>
        </is>
      </c>
      <c r="E998" s="20" t="inlineStr">
        <is>
          <t>Mène le calcul sans écrire l'hypothèse de récurrence ni la phrase de conclusion</t>
        </is>
      </c>
      <c r="F998" s="20" t="inlineStr">
        <is>
          <t>Le calcul est juste mais les deux éléments de rédaction payés par le barème manquent.</t>
        </is>
      </c>
    </row>
    <row r="999">
      <c r="A999" s="22" t="inlineStr">
        <is>
          <t>tleD</t>
        </is>
      </c>
      <c r="B999" s="23" t="inlineStr">
        <is>
          <t>P1.3</t>
        </is>
      </c>
      <c r="C999" s="22" t="inlineStr">
        <is>
          <t>D.DEN</t>
        </is>
      </c>
      <c r="D999" s="23" t="inlineStr">
        <is>
          <t>CPT</t>
        </is>
      </c>
      <c r="E999" s="22" t="inlineStr">
        <is>
          <t>Ecrit 2 730 choix (15 × 14 × 13)</t>
        </is>
      </c>
      <c r="F999" s="22" t="inlineStr">
        <is>
          <t>L'arrangement est calculé : l'ordre des ruches choisies est compté à tort.</t>
        </is>
      </c>
    </row>
    <row r="1000">
      <c r="A1000" s="20" t="inlineStr">
        <is>
          <t>tleD</t>
        </is>
      </c>
      <c r="B1000" s="21" t="inlineStr">
        <is>
          <t>P1.3</t>
        </is>
      </c>
      <c r="C1000" s="20" t="inlineStr">
        <is>
          <t>D.DEN</t>
        </is>
      </c>
      <c r="D1000" s="21" t="inlineStr">
        <is>
          <t>MOD</t>
        </is>
      </c>
      <c r="E1000" s="20" t="inlineStr">
        <is>
          <t>Ecrit 3 375 choix (15³)</t>
        </is>
      </c>
      <c r="F1000" s="20" t="inlineStr">
        <is>
          <t>Le contrôle est modélisé comme trois tirages avec répétition, une même ruche pouvant être choisie plusieurs fois.</t>
        </is>
      </c>
    </row>
    <row r="1001">
      <c r="A1001" s="22" t="inlineStr">
        <is>
          <t>tleD</t>
        </is>
      </c>
      <c r="B1001" s="23" t="inlineStr">
        <is>
          <t>P1.3</t>
        </is>
      </c>
      <c r="C1001" s="22" t="inlineStr">
        <is>
          <t>D.DEN</t>
        </is>
      </c>
      <c r="D1001" s="23" t="inlineStr">
        <is>
          <t>PRC</t>
        </is>
      </c>
      <c r="E1001" s="22" t="inlineStr">
        <is>
          <t>Ecrit 910 choix (2 730 : 3)</t>
        </is>
      </c>
      <c r="F1001" s="22" t="inlineStr">
        <is>
          <t>C₁₅³ est bien posé mais le dénominateur 3! est pris égal à 3.</t>
        </is>
      </c>
    </row>
    <row r="1002">
      <c r="A1002" s="20" t="inlineStr">
        <is>
          <t>tleD</t>
        </is>
      </c>
      <c r="B1002" s="21" t="inlineStr">
        <is>
          <t>P1.3</t>
        </is>
      </c>
      <c r="C1002" s="20" t="inlineStr">
        <is>
          <t>S.SUI</t>
        </is>
      </c>
      <c r="D1002" s="21" t="inlineStr">
        <is>
          <t>MOD</t>
        </is>
      </c>
      <c r="E1002" s="20" t="inlineStr">
        <is>
          <t>Ecrit « Rasmané a raison, 488 c'est presque 500 »</t>
        </is>
      </c>
      <c r="F1002" s="20" t="inlineStr">
        <is>
          <t>La décision repose sur une estimation et non sur la comparaison stricte 488 &lt; 500 qu'exige l'affirmation.</t>
        </is>
      </c>
    </row>
    <row r="1003">
      <c r="A1003" s="22" t="inlineStr">
        <is>
          <t>tleD</t>
        </is>
      </c>
      <c r="B1003" s="23" t="inlineStr">
        <is>
          <t>P1.3</t>
        </is>
      </c>
      <c r="C1003" s="22" t="inlineStr">
        <is>
          <t>D.DEN</t>
        </is>
      </c>
      <c r="D1003" s="23" t="inlineStr">
        <is>
          <t>RED</t>
        </is>
      </c>
      <c r="E1003" s="22" t="inlineStr">
        <is>
          <t>Ecrit 455 et 488 &lt; 500 sans phrase de conclusion</t>
        </is>
      </c>
      <c r="F1003" s="22" t="inlineStr">
        <is>
          <t>Les éléments sont justes mais la décision sur l'affirmation de Rasmané n'est pas rédigée.</t>
        </is>
      </c>
    </row>
    <row r="1004">
      <c r="A1004" s="20" t="inlineStr">
        <is>
          <t>tleD</t>
        </is>
      </c>
      <c r="B1004" s="21" t="inlineStr">
        <is>
          <t>P2.1</t>
        </is>
      </c>
      <c r="C1004" s="20" t="inlineStr">
        <is>
          <t>F.DER</t>
        </is>
      </c>
      <c r="D1004" s="21" t="inlineStr">
        <is>
          <t>CNS</t>
        </is>
      </c>
      <c r="E1004" s="20" t="inlineStr">
        <is>
          <t>Ecrit C'(x) = 1 + 9/x²</t>
        </is>
      </c>
      <c r="F1004" s="20" t="inlineStr">
        <is>
          <t>La dérivée de 1/x est retenue comme 1/x² : formule fausse assumée.</t>
        </is>
      </c>
    </row>
    <row r="1005">
      <c r="A1005" s="22" t="inlineStr">
        <is>
          <t>tleD</t>
        </is>
      </c>
      <c r="B1005" s="23" t="inlineStr">
        <is>
          <t>P2.1</t>
        </is>
      </c>
      <c r="C1005" s="22" t="inlineStr">
        <is>
          <t>F.DER</t>
        </is>
      </c>
      <c r="D1005" s="23" t="inlineStr">
        <is>
          <t>PRQ</t>
        </is>
      </c>
      <c r="E1005" s="22" t="inlineStr">
        <is>
          <t>Ecrit 1 - 9/x² = (1 - 9)/x² = -8/x²</t>
        </is>
      </c>
      <c r="F1005" s="22" t="inlineStr">
        <is>
          <t>1 n'est pas écrit x²/x² avant de soustraire : acquis en cause, l'addition de fractions (collège).</t>
        </is>
      </c>
    </row>
    <row r="1006">
      <c r="A1006" s="20" t="inlineStr">
        <is>
          <t>tleD</t>
        </is>
      </c>
      <c r="B1006" s="21" t="inlineStr">
        <is>
          <t>P2.1</t>
        </is>
      </c>
      <c r="C1006" s="20" t="inlineStr">
        <is>
          <t>L.RATF</t>
        </is>
      </c>
      <c r="D1006" s="21" t="inlineStr">
        <is>
          <t>CPT</t>
        </is>
      </c>
      <c r="E1006" s="20" t="inlineStr">
        <is>
          <t>Ecrit « C'(x) &gt; 0 sur [1 ; 9] car x² &gt; 0 »</t>
        </is>
      </c>
      <c r="F1006" s="20" t="inlineStr">
        <is>
          <t>Le signe du quotient est lu sur le seul dénominateur : le numérateur x² - 9 n'est pas étudié.</t>
        </is>
      </c>
    </row>
    <row r="1007">
      <c r="A1007" s="22" t="inlineStr">
        <is>
          <t>tleD</t>
        </is>
      </c>
      <c r="B1007" s="23" t="inlineStr">
        <is>
          <t>P2.1</t>
        </is>
      </c>
      <c r="C1007" s="22" t="inlineStr">
        <is>
          <t>L.RATF</t>
        </is>
      </c>
      <c r="D1007" s="23" t="inlineStr">
        <is>
          <t>PRC</t>
        </is>
      </c>
      <c r="E1007" s="22" t="inlineStr">
        <is>
          <t>Ecrit x² - 9 = (x - 9)(x + 9), C'(x) &lt; 0 sur [1 ; 9[</t>
        </is>
      </c>
      <c r="F1007" s="22" t="inlineStr">
        <is>
          <t>La méthode de factorisation est choisie mais a² - b² est appliqué avec b = 9 au lieu de 3.</t>
        </is>
      </c>
    </row>
    <row r="1008">
      <c r="A1008" s="20" t="inlineStr">
        <is>
          <t>tleD</t>
        </is>
      </c>
      <c r="B1008" s="21" t="inlineStr">
        <is>
          <t>P2.1</t>
        </is>
      </c>
      <c r="C1008" s="20" t="inlineStr">
        <is>
          <t>F.DER</t>
        </is>
      </c>
      <c r="D1008" s="21" t="inlineStr">
        <is>
          <t>RED</t>
        </is>
      </c>
      <c r="E1008" s="20" t="inlineStr">
        <is>
          <t>Ecrit C'(x) = (x² - 9)/x² sans le calcul 1 - 9/x²</t>
        </is>
      </c>
      <c r="F1008" s="20" t="inlineStr">
        <is>
          <t>L'égalité à montrer est recopiée sans démonstration.</t>
        </is>
      </c>
    </row>
    <row r="1009">
      <c r="A1009" s="22" t="inlineStr">
        <is>
          <t>tleD</t>
        </is>
      </c>
      <c r="B1009" s="23" t="inlineStr">
        <is>
          <t>P2.2</t>
        </is>
      </c>
      <c r="C1009" s="22" t="inlineStr">
        <is>
          <t>F.VAR</t>
        </is>
      </c>
      <c r="D1009" s="23" t="inlineStr">
        <is>
          <t>CPT</t>
        </is>
      </c>
      <c r="E1009" s="22" t="inlineStr">
        <is>
          <t>Ecrit C croissante sur [1 ; 3] et décroissante sur [3 ; 9]</t>
        </is>
      </c>
      <c r="F1009" s="22" t="inlineStr">
        <is>
          <t>Le lien entre signe de C' et sens de variation est inversé.</t>
        </is>
      </c>
    </row>
    <row r="1010">
      <c r="A1010" s="20" t="inlineStr">
        <is>
          <t>tleD</t>
        </is>
      </c>
      <c r="B1010" s="21" t="inlineStr">
        <is>
          <t>P2.2</t>
        </is>
      </c>
      <c r="C1010" s="20" t="inlineStr">
        <is>
          <t>F.VAR</t>
        </is>
      </c>
      <c r="D1010" s="21" t="inlineStr">
        <is>
          <t>PRC</t>
        </is>
      </c>
      <c r="E1010" s="20" t="inlineStr">
        <is>
          <t>Place 10 en x = 1 et 14 en x = 3</t>
        </is>
      </c>
      <c r="F1010" s="20" t="inlineStr">
        <is>
          <t>Le tableau est bien construit mais les valeurs données sont portées aux mauvais endroits.</t>
        </is>
      </c>
    </row>
    <row r="1011">
      <c r="A1011" s="22" t="inlineStr">
        <is>
          <t>tleD</t>
        </is>
      </c>
      <c r="B1011" s="23" t="inlineStr">
        <is>
          <t>P2.2</t>
        </is>
      </c>
      <c r="C1011" s="22" t="inlineStr">
        <is>
          <t>F.VAR</t>
        </is>
      </c>
      <c r="D1011" s="23" t="inlineStr">
        <is>
          <t>CNS</t>
        </is>
      </c>
      <c r="E1011" s="22" t="inlineStr">
        <is>
          <t>Dresse un tableau de valeurs (1, 3, 9 ; 14, 10, 14) sans ligne de signe ni flèches</t>
        </is>
      </c>
      <c r="F1011" s="22" t="inlineStr">
        <is>
          <t>La structure d'un tableau de variation n'est pas disponible.</t>
        </is>
      </c>
    </row>
    <row r="1012">
      <c r="A1012" s="20" t="inlineStr">
        <is>
          <t>tleD</t>
        </is>
      </c>
      <c r="B1012" s="21" t="inlineStr">
        <is>
          <t>P2.2</t>
        </is>
      </c>
      <c r="C1012" s="20" t="inlineStr">
        <is>
          <t>F.VAR</t>
        </is>
      </c>
      <c r="D1012" s="21" t="inlineStr">
        <is>
          <t>MOD</t>
        </is>
      </c>
      <c r="E1012" s="20" t="inlineStr">
        <is>
          <t>Fait commencer le tableau en x = -3 (racine de x² - 9)</t>
        </is>
      </c>
      <c r="F1012" s="20" t="inlineStr">
        <is>
          <t>Le domaine [1 ; 9], imposé par le contexte de production, n'est pas respecté.</t>
        </is>
      </c>
    </row>
    <row r="1013">
      <c r="A1013" s="22" t="inlineStr">
        <is>
          <t>tleD</t>
        </is>
      </c>
      <c r="B1013" s="23" t="inlineStr">
        <is>
          <t>P2.3</t>
        </is>
      </c>
      <c r="C1013" s="22" t="inlineStr">
        <is>
          <t>F.VAR</t>
        </is>
      </c>
      <c r="D1013" s="23" t="inlineStr">
        <is>
          <t>MOD</t>
        </is>
      </c>
      <c r="E1013" s="22" t="inlineStr">
        <is>
          <t>Ecrit « Fatimata a raison : plus on produit, moins la tonne coûte »</t>
        </is>
      </c>
      <c r="F1013" s="22" t="inlineStr">
        <is>
          <t>La décision suit l'intuition et non le tableau : C(9) = C(1) = 14 n'est pas exploité.</t>
        </is>
      </c>
    </row>
    <row r="1014">
      <c r="A1014" s="20" t="inlineStr">
        <is>
          <t>tleD</t>
        </is>
      </c>
      <c r="B1014" s="21" t="inlineStr">
        <is>
          <t>P2.3</t>
        </is>
      </c>
      <c r="C1014" s="20" t="inlineStr">
        <is>
          <t>F.VAR</t>
        </is>
      </c>
      <c r="D1014" s="21" t="inlineStr">
        <is>
          <t>CPT</t>
        </is>
      </c>
      <c r="E1014" s="20" t="inlineStr">
        <is>
          <t>Ecrit « produire 10 tonnes »</t>
        </is>
      </c>
      <c r="F1014" s="20" t="inlineStr">
        <is>
          <t>Le minimum du coût (10 milliers de FCFA) est confondu avec la quantité où il est atteint (3 tonnes).</t>
        </is>
      </c>
    </row>
    <row r="1015">
      <c r="A1015" s="22" t="inlineStr">
        <is>
          <t>tleD</t>
        </is>
      </c>
      <c r="B1015" s="23" t="inlineStr">
        <is>
          <t>P2.3</t>
        </is>
      </c>
      <c r="C1015" s="22" t="inlineStr">
        <is>
          <t>F.VAR</t>
        </is>
      </c>
      <c r="D1015" s="23" t="inlineStr">
        <is>
          <t>MOD</t>
        </is>
      </c>
      <c r="E1015" s="22" t="inlineStr">
        <is>
          <t>Ecrit « 9 × 14 = 126 &gt; 14, donc Fatimata a tort »</t>
        </is>
      </c>
      <c r="F1015" s="22" t="inlineStr">
        <is>
          <t>Coût moyen par tonne et coût total sont confondus : la conclusion est atteinte par un modèle faux.</t>
        </is>
      </c>
    </row>
    <row r="1016">
      <c r="A1016" s="20" t="inlineStr">
        <is>
          <t>tleD</t>
        </is>
      </c>
      <c r="B1016" s="21" t="inlineStr">
        <is>
          <t>P2.3</t>
        </is>
      </c>
      <c r="C1016" s="20" t="inlineStr">
        <is>
          <t>F.VAR</t>
        </is>
      </c>
      <c r="D1016" s="21" t="inlineStr">
        <is>
          <t>RED</t>
        </is>
      </c>
      <c r="E1016" s="20" t="inlineStr">
        <is>
          <t>Ecrit « Fatimata a tort » sans citer C(1) = C(9) = 14 ni les 3 tonnes</t>
        </is>
      </c>
      <c r="F1016" s="20" t="inlineStr">
        <is>
          <t>Le jugement est juste mais il n'est ni justifié ni complété par la quantité demandée.</t>
        </is>
      </c>
    </row>
    <row r="1017">
      <c r="A1017" s="22" t="inlineStr">
        <is>
          <t>tleD</t>
        </is>
      </c>
      <c r="B1017" s="23" t="inlineStr">
        <is>
          <t>P3.1</t>
        </is>
      </c>
      <c r="C1017" s="22" t="inlineStr">
        <is>
          <t>T.TRIG</t>
        </is>
      </c>
      <c r="D1017" s="23" t="inlineStr">
        <is>
          <t>PRQ</t>
        </is>
      </c>
      <c r="E1017" s="22" t="inlineStr">
        <is>
          <t>Ecrit h(0) = 5 m et h(3) = 3 m</t>
        </is>
      </c>
      <c r="F1017" s="22" t="inlineStr">
        <is>
          <t>sin 0 et sin(π/2) sont échangés : acquis en cause, les valeurs remarquables du sinus (2nde).</t>
        </is>
      </c>
    </row>
    <row r="1018">
      <c r="A1018" s="20" t="inlineStr">
        <is>
          <t>tleD</t>
        </is>
      </c>
      <c r="B1018" s="21" t="inlineStr">
        <is>
          <t>P3.1</t>
        </is>
      </c>
      <c r="C1018" s="20" t="inlineStr">
        <is>
          <t>T.TRIG</t>
        </is>
      </c>
      <c r="D1018" s="21" t="inlineStr">
        <is>
          <t>CPT</t>
        </is>
      </c>
      <c r="E1018" s="20" t="inlineStr">
        <is>
          <t>Ecrit h(3) = 3 + 2 × 3π/6 = 3 + π</t>
        </is>
      </c>
      <c r="F1018" s="20" t="inlineStr">
        <is>
          <t>sin(3π/6) est remplacé par 3π/6 : le sinus est confondu avec son argument.</t>
        </is>
      </c>
    </row>
    <row r="1019">
      <c r="A1019" s="22" t="inlineStr">
        <is>
          <t>tleD</t>
        </is>
      </c>
      <c r="B1019" s="23" t="inlineStr">
        <is>
          <t>P3.1</t>
        </is>
      </c>
      <c r="C1019" s="22" t="inlineStr">
        <is>
          <t>F.GRA</t>
        </is>
      </c>
      <c r="D1019" s="23" t="inlineStr">
        <is>
          <t>MOD</t>
        </is>
      </c>
      <c r="E1019" s="22" t="inlineStr">
        <is>
          <t>Ecrit « maximum 5 m, atteint à t = π/2 »</t>
        </is>
      </c>
      <c r="F1019" s="22" t="inlineStr">
        <is>
          <t>L'angle πt/6 = π/2 est donné comme heure : la variable t du modèle n'est pas distinguée de l'angle.</t>
        </is>
      </c>
    </row>
    <row r="1020">
      <c r="A1020" s="20" t="inlineStr">
        <is>
          <t>tleD</t>
        </is>
      </c>
      <c r="B1020" s="21" t="inlineStr">
        <is>
          <t>P3.1</t>
        </is>
      </c>
      <c r="C1020" s="20" t="inlineStr">
        <is>
          <t>F.GRA</t>
        </is>
      </c>
      <c r="D1020" s="21" t="inlineStr">
        <is>
          <t>RED</t>
        </is>
      </c>
      <c r="E1020" s="20" t="inlineStr">
        <is>
          <t>Ecrit « hauteur maximale 5 m » sans s'appuyer sur sin(πt/6) ≤ 1</t>
        </is>
      </c>
      <c r="F1020" s="20" t="inlineStr">
        <is>
          <t>Le résultat est juste mais l'encadrement qui le justifie n'est pas utilisé.</t>
        </is>
      </c>
    </row>
    <row r="1021">
      <c r="A1021" s="22" t="inlineStr">
        <is>
          <t>tleD</t>
        </is>
      </c>
      <c r="B1021" s="23" t="inlineStr">
        <is>
          <t>P3.2</t>
        </is>
      </c>
      <c r="C1021" s="22" t="inlineStr">
        <is>
          <t>T.EQT</t>
        </is>
      </c>
      <c r="D1021" s="23" t="inlineStr">
        <is>
          <t>CPT</t>
        </is>
      </c>
      <c r="E1021" s="22" t="inlineStr">
        <is>
          <t>Ecrit πt/6 ≥ π/6, donc S = [1 ; 12[</t>
        </is>
      </c>
      <c r="F1021" s="22" t="inlineStr">
        <is>
          <t>Le sinus est traité comme croissant sur [0 ; 2π[ : la seconde borne 5π/6 n'est pas cherchée.</t>
        </is>
      </c>
    </row>
    <row r="1022">
      <c r="A1022" s="20" t="inlineStr">
        <is>
          <t>tleD</t>
        </is>
      </c>
      <c r="B1022" s="21" t="inlineStr">
        <is>
          <t>P3.2</t>
        </is>
      </c>
      <c r="C1022" s="20" t="inlineStr">
        <is>
          <t>T.EQT</t>
        </is>
      </c>
      <c r="D1022" s="21" t="inlineStr">
        <is>
          <t>MOD</t>
        </is>
      </c>
      <c r="E1022" s="20" t="inlineStr">
        <is>
          <t>Ecrit S = [π/6 ; 5π/6]</t>
        </is>
      </c>
      <c r="F1022" s="20" t="inlineStr">
        <is>
          <t>L'intervalle sur l'angle est juste mais il n'est pas ramené à la variable t, en heures.</t>
        </is>
      </c>
    </row>
    <row r="1023">
      <c r="A1023" s="22" t="inlineStr">
        <is>
          <t>tleD</t>
        </is>
      </c>
      <c r="B1023" s="23" t="inlineStr">
        <is>
          <t>P3.2</t>
        </is>
      </c>
      <c r="C1023" s="22" t="inlineStr">
        <is>
          <t>T.EQT</t>
        </is>
      </c>
      <c r="D1023" s="23" t="inlineStr">
        <is>
          <t>CNS</t>
        </is>
      </c>
      <c r="E1023" s="22" t="inlineStr">
        <is>
          <t>Ecrit S = [2 ; 4]</t>
        </is>
      </c>
      <c r="F1023" s="22" t="inlineStr">
        <is>
          <t>La valeur sin(π/6) = 1/2 n'est pas disponible : π/3 et 2π/3 sont pris comme bornes de l'angle.</t>
        </is>
      </c>
    </row>
    <row r="1024">
      <c r="A1024" s="20" t="inlineStr">
        <is>
          <t>tleD</t>
        </is>
      </c>
      <c r="B1024" s="21" t="inlineStr">
        <is>
          <t>P3.2</t>
        </is>
      </c>
      <c r="C1024" s="20" t="inlineStr">
        <is>
          <t>T.EQT</t>
        </is>
      </c>
      <c r="D1024" s="21" t="inlineStr">
        <is>
          <t>PRC</t>
        </is>
      </c>
      <c r="E1024" s="20" t="inlineStr">
        <is>
          <t>Ecrit 2sin(πt/6) ≥ 4, donc S = ∅</t>
        </is>
      </c>
      <c r="F1024" s="20" t="inlineStr">
        <is>
          <t>La transposition oublie le terme 3 : h(t) ≥ 4 devient 2sin(πt/6) ≥ 4.</t>
        </is>
      </c>
    </row>
    <row r="1025">
      <c r="A1025" s="22" t="inlineStr">
        <is>
          <t>tleD</t>
        </is>
      </c>
      <c r="B1025" s="23" t="inlineStr">
        <is>
          <t>P3.2</t>
        </is>
      </c>
      <c r="C1025" s="22" t="inlineStr">
        <is>
          <t>T.EQT</t>
        </is>
      </c>
      <c r="D1025" s="23" t="inlineStr">
        <is>
          <t>RED</t>
        </is>
      </c>
      <c r="E1025" s="22" t="inlineStr">
        <is>
          <t>Ecrit S = [1 ; 5] sans passer par sin(πt/6) ≥ 1/2 ni par l'angle</t>
        </is>
      </c>
      <c r="F1025" s="22" t="inlineStr">
        <is>
          <t>Le résultat est juste mais la résolution n'est pas rédigée.</t>
        </is>
      </c>
    </row>
    <row r="1026">
      <c r="A1026" s="20" t="inlineStr">
        <is>
          <t>tleD</t>
        </is>
      </c>
      <c r="B1026" s="21" t="inlineStr">
        <is>
          <t>P3.3</t>
        </is>
      </c>
      <c r="C1026" s="20" t="inlineStr">
        <is>
          <t>F.GRA</t>
        </is>
      </c>
      <c r="D1026" s="21" t="inlineStr">
        <is>
          <t>MOD</t>
        </is>
      </c>
      <c r="E1026" s="20" t="inlineStr">
        <is>
          <t>Ecrit « 1, 2, 3, 4, 5 : 5 heures, Zénabou a raison »</t>
        </is>
      </c>
      <c r="F1026" s="20" t="inlineStr">
        <is>
          <t>Les heures entières citées sont comptées au lieu de calculer la durée 5 - 1 = 4 heures.</t>
        </is>
      </c>
    </row>
    <row r="1027">
      <c r="A1027" s="22" t="inlineStr">
        <is>
          <t>tleD</t>
        </is>
      </c>
      <c r="B1027" s="23" t="inlineStr">
        <is>
          <t>P3.3</t>
        </is>
      </c>
      <c r="C1027" s="22" t="inlineStr">
        <is>
          <t>F.GRA</t>
        </is>
      </c>
      <c r="D1027" s="23" t="inlineStr">
        <is>
          <t>CPT</t>
        </is>
      </c>
      <c r="E1027" s="22" t="inlineStr">
        <is>
          <t>Ecrit « la pompe fonctionne à 1 h et à 5 h seulement »</t>
        </is>
      </c>
      <c r="F1027" s="22" t="inlineStr">
        <is>
          <t>« Atteint au moins 4 m » est confondu avec « vaut exactement 4 m ».</t>
        </is>
      </c>
    </row>
    <row r="1028">
      <c r="A1028" s="20" t="inlineStr">
        <is>
          <t>tleD</t>
        </is>
      </c>
      <c r="B1028" s="21" t="inlineStr">
        <is>
          <t>P3.3</t>
        </is>
      </c>
      <c r="C1028" s="20" t="inlineStr">
        <is>
          <t>T.EQT</t>
        </is>
      </c>
      <c r="D1028" s="21" t="inlineStr">
        <is>
          <t>PRC</t>
        </is>
      </c>
      <c r="E1028" s="20" t="inlineStr">
        <is>
          <t>Ecrit « de 0 h à 1 h et de 5 h à 12 h, soit 8 heures »</t>
        </is>
      </c>
      <c r="F1028" s="20" t="inlineStr">
        <is>
          <t>Les deux heures sont bien utilisées mais l'intervalle retenu est celui où h(t) ≤ 4.</t>
        </is>
      </c>
    </row>
    <row r="1029">
      <c r="A1029" s="22" t="inlineStr">
        <is>
          <t>tleD</t>
        </is>
      </c>
      <c r="B1029" s="23" t="inlineStr">
        <is>
          <t>P3.3</t>
        </is>
      </c>
      <c r="C1029" s="22" t="inlineStr">
        <is>
          <t>F.GRA</t>
        </is>
      </c>
      <c r="D1029" s="23" t="inlineStr">
        <is>
          <t>RED</t>
        </is>
      </c>
      <c r="E1029" s="22" t="inlineStr">
        <is>
          <t>Ecrit « Zénabou a tort, 4 heures » sans établir que h ≥ 4 entre 1 h et 5 h</t>
        </is>
      </c>
      <c r="F1029" s="22" t="inlineStr">
        <is>
          <t>La durée est juste mais il n'est pas établi que la pompe fonctionne entre les deux heures.</t>
        </is>
      </c>
    </row>
    <row r="1030">
      <c r="A1030" s="20" t="inlineStr">
        <is>
          <t>tleD</t>
        </is>
      </c>
      <c r="B1030" s="21" t="inlineStr">
        <is>
          <t>P4.1</t>
        </is>
      </c>
      <c r="C1030" s="20" t="inlineStr">
        <is>
          <t>N.RAC</t>
        </is>
      </c>
      <c r="D1030" s="21" t="inlineStr">
        <is>
          <t>PRQ</t>
        </is>
      </c>
      <c r="E1030" s="20" t="inlineStr">
        <is>
          <t>Ecrit AB = √40 = 4√10</t>
        </is>
      </c>
      <c r="F1030" s="20" t="inlineStr">
        <is>
          <t>Le facteur carré 4 sort sans sa racine : acquis en cause, la simplification √(a²b) = a√b (3e).</t>
        </is>
      </c>
    </row>
    <row r="1031">
      <c r="A1031" s="22" t="inlineStr">
        <is>
          <t>tleD</t>
        </is>
      </c>
      <c r="B1031" s="23" t="inlineStr">
        <is>
          <t>P4.1</t>
        </is>
      </c>
      <c r="C1031" s="22" t="inlineStr">
        <is>
          <t>G.PS</t>
        </is>
      </c>
      <c r="D1031" s="23" t="inlineStr">
        <is>
          <t>CPT</t>
        </is>
      </c>
      <c r="E1031" s="22" t="inlineStr">
        <is>
          <t>Ecrit AB = 6 + 2 = 8</t>
        </is>
      </c>
      <c r="F1031" s="22" t="inlineStr">
        <is>
          <t>La distance est confondue avec la somme des écarts de coordonnées.</t>
        </is>
      </c>
    </row>
    <row r="1032">
      <c r="A1032" s="20" t="inlineStr">
        <is>
          <t>tleD</t>
        </is>
      </c>
      <c r="B1032" s="21" t="inlineStr">
        <is>
          <t>P4.1</t>
        </is>
      </c>
      <c r="C1032" s="20" t="inlineStr">
        <is>
          <t>G.PS</t>
        </is>
      </c>
      <c r="D1032" s="21" t="inlineStr">
        <is>
          <t>PRC</t>
        </is>
      </c>
      <c r="E1032" s="20" t="inlineStr">
        <is>
          <t>Ecrit vecteur AB(2 ; 2) et AB = 2√2</t>
        </is>
      </c>
      <c r="F1032" s="20" t="inlineStr">
        <is>
          <t>La formule est juste mais 4 - (-2) est calculé comme 4 - 2.</t>
        </is>
      </c>
    </row>
    <row r="1033">
      <c r="A1033" s="22" t="inlineStr">
        <is>
          <t>tleD</t>
        </is>
      </c>
      <c r="B1033" s="23" t="inlineStr">
        <is>
          <t>P4.1</t>
        </is>
      </c>
      <c r="C1033" s="22" t="inlineStr">
        <is>
          <t>N.RAC</t>
        </is>
      </c>
      <c r="D1033" s="23" t="inlineStr">
        <is>
          <t>CNS</t>
        </is>
      </c>
      <c r="E1033" s="22" t="inlineStr">
        <is>
          <t>Ecrit AB ≈ 6,3 et AC ≈ 6,3</t>
        </is>
      </c>
      <c r="F1033" s="22" t="inlineStr">
        <is>
          <t>Le calcul exact sur les radicaux n'est pas mobilisé alors que la valeur exacte est demandée.</t>
        </is>
      </c>
    </row>
    <row r="1034">
      <c r="A1034" s="20" t="inlineStr">
        <is>
          <t>tleD</t>
        </is>
      </c>
      <c r="B1034" s="21" t="inlineStr">
        <is>
          <t>P4.2</t>
        </is>
      </c>
      <c r="C1034" s="20" t="inlineStr">
        <is>
          <t>G.PS</t>
        </is>
      </c>
      <c r="D1034" s="21" t="inlineStr">
        <is>
          <t>CNS</t>
        </is>
      </c>
      <c r="E1034" s="20" t="inlineStr">
        <is>
          <t>Ecrit AB→ · AC→ = AB × AC = 40</t>
        </is>
      </c>
      <c r="F1034" s="20" t="inlineStr">
        <is>
          <t>La formule du produit scalaire est retenue sans le cosinus de l'angle : formule fausse assumée.</t>
        </is>
      </c>
    </row>
    <row r="1035">
      <c r="A1035" s="22" t="inlineStr">
        <is>
          <t>tleD</t>
        </is>
      </c>
      <c r="B1035" s="23" t="inlineStr">
        <is>
          <t>P4.2</t>
        </is>
      </c>
      <c r="C1035" s="22" t="inlineStr">
        <is>
          <t>G.PS</t>
        </is>
      </c>
      <c r="D1035" s="23" t="inlineStr">
        <is>
          <t>CPT</t>
        </is>
      </c>
      <c r="E1035" s="22" t="inlineStr">
        <is>
          <t>Ecrit AB→ · AC→ = 6 × 6 - 2 × 2 = 32</t>
        </is>
      </c>
      <c r="F1035" s="22" t="inlineStr">
        <is>
          <t>Le produit scalaire est confondu avec le déterminant xy' - yx' des deux vecteurs (critère de colinéarité).</t>
        </is>
      </c>
    </row>
    <row r="1036">
      <c r="A1036" s="20" t="inlineStr">
        <is>
          <t>tleD</t>
        </is>
      </c>
      <c r="B1036" s="21" t="inlineStr">
        <is>
          <t>P4.2</t>
        </is>
      </c>
      <c r="C1036" s="20" t="inlineStr">
        <is>
          <t>G.PS</t>
        </is>
      </c>
      <c r="D1036" s="21" t="inlineStr">
        <is>
          <t>PRC</t>
        </is>
      </c>
      <c r="E1036" s="20" t="inlineStr">
        <is>
          <t>Ecrit vecteur AC(-2 ; 6) et AB→ · AC→ = -12 + 12 = 0</t>
        </is>
      </c>
      <c r="F1036" s="20" t="inlineStr">
        <is>
          <t>La formule xx' + yy' est juste mais 0 - (-2) est calculé comme -2.</t>
        </is>
      </c>
    </row>
    <row r="1037">
      <c r="A1037" s="22" t="inlineStr">
        <is>
          <t>tleD</t>
        </is>
      </c>
      <c r="B1037" s="23" t="inlineStr">
        <is>
          <t>P4.2</t>
        </is>
      </c>
      <c r="C1037" s="22" t="inlineStr">
        <is>
          <t>G.PS</t>
        </is>
      </c>
      <c r="D1037" s="23" t="inlineStr">
        <is>
          <t>RED</t>
        </is>
      </c>
      <c r="E1037" s="22" t="inlineStr">
        <is>
          <t>Ecrit AB→ · AC→ = 24 sans donner les coordonnées des vecteurs</t>
        </is>
      </c>
      <c r="F1037" s="22" t="inlineStr">
        <is>
          <t>La valeur est juste mais les coordonnées et l'expression payées par le barème manquent.</t>
        </is>
      </c>
    </row>
    <row r="1038">
      <c r="A1038" s="20" t="inlineStr">
        <is>
          <t>tleD</t>
        </is>
      </c>
      <c r="B1038" s="21" t="inlineStr">
        <is>
          <t>P4.3</t>
        </is>
      </c>
      <c r="C1038" s="20" t="inlineStr">
        <is>
          <t>G.PS</t>
        </is>
      </c>
      <c r="D1038" s="21" t="inlineStr">
        <is>
          <t>CPT</t>
        </is>
      </c>
      <c r="E1038" s="20" t="inlineStr">
        <is>
          <t>Ecrit « ABC est rectangle en A car le produit scalaire 24 est positif »</t>
        </is>
      </c>
      <c r="F1038" s="20" t="inlineStr">
        <is>
          <t>L'orthogonalité est associée au signe du produit scalaire et non à sa nullité.</t>
        </is>
      </c>
    </row>
    <row r="1039">
      <c r="A1039" s="22" t="inlineStr">
        <is>
          <t>tleD</t>
        </is>
      </c>
      <c r="B1039" s="23" t="inlineStr">
        <is>
          <t>P4.3</t>
        </is>
      </c>
      <c r="C1039" s="22" t="inlineStr">
        <is>
          <t>G.PS</t>
        </is>
      </c>
      <c r="D1039" s="23" t="inlineStr">
        <is>
          <t>MOD</t>
        </is>
      </c>
      <c r="E1039" s="22" t="inlineStr">
        <is>
          <t>Ecrit « Salif a tort » sans reconnaître que ABC est isocèle</t>
        </is>
      </c>
      <c r="F1039" s="22" t="inlineStr">
        <is>
          <t>L'affirmation composée est traitée en bloc : la partie vraie n'est pas séparée de la partie fausse.</t>
        </is>
      </c>
    </row>
    <row r="1040">
      <c r="A1040" s="20" t="inlineStr">
        <is>
          <t>tleD</t>
        </is>
      </c>
      <c r="B1040" s="21" t="inlineStr">
        <is>
          <t>P4.3</t>
        </is>
      </c>
      <c r="C1040" s="20" t="inlineStr">
        <is>
          <t>G.PS</t>
        </is>
      </c>
      <c r="D1040" s="21" t="inlineStr">
        <is>
          <t>CNS</t>
        </is>
      </c>
      <c r="E1040" s="20" t="inlineStr">
        <is>
          <t>Ecrit « Salif a raison, ABC est isocèle rectangle »</t>
        </is>
      </c>
      <c r="F1040" s="20" t="inlineStr">
        <is>
          <t>La caractérisation de l'orthogonalité par un produit scalaire nul n'est pas mobilisée.</t>
        </is>
      </c>
    </row>
    <row r="1041">
      <c r="A1041" s="22" t="inlineStr">
        <is>
          <t>tleD</t>
        </is>
      </c>
      <c r="B1041" s="23" t="inlineStr">
        <is>
          <t>P4.3</t>
        </is>
      </c>
      <c r="C1041" s="22" t="inlineStr">
        <is>
          <t>G.PS</t>
        </is>
      </c>
      <c r="D1041" s="23" t="inlineStr">
        <is>
          <t>PRQ</t>
        </is>
      </c>
      <c r="E1041" s="22" t="inlineStr">
        <is>
          <t>Ecrit « ABC est équilatéral car AB = AC »</t>
        </is>
      </c>
      <c r="F1041" s="22" t="inlineStr">
        <is>
          <t>Deux côtés égaux suffisent à conclure à trois côtés égaux : acquis en cause, le vocabulaire des triangles (6e).</t>
        </is>
      </c>
    </row>
    <row r="1042">
      <c r="A1042" s="20" t="inlineStr">
        <is>
          <t>tleD</t>
        </is>
      </c>
      <c r="B1042" s="21" t="inlineStr">
        <is>
          <t>P4.3</t>
        </is>
      </c>
      <c r="C1042" s="20" t="inlineStr">
        <is>
          <t>G.PS</t>
        </is>
      </c>
      <c r="D1042" s="21" t="inlineStr">
        <is>
          <t>RED</t>
        </is>
      </c>
      <c r="E1042" s="20" t="inlineStr">
        <is>
          <t>Ecrit « isocèle non rectangle » sans citer AB = AC ni 24 ≠ 0</t>
        </is>
      </c>
      <c r="F1042" s="20" t="inlineStr">
        <is>
          <t>La nature est juste mais elle n'est appuyée sur aucune des deux données.</t>
        </is>
      </c>
    </row>
  </sheetData>
  <autoFilter ref="A1:F1042"/>
  <dataValidations count="1">
    <dataValidation sqref="D2:D1042" showDropDown="0" showInputMessage="0" showErrorMessage="0" allowBlank="0" type="list">
      <formula1>"PRQ,CPT,MOD,PRC,CNS,RED,ATT"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73"/>
  <sheetViews>
    <sheetView workbookViewId="0">
      <pane ySplit="1" topLeftCell="A2" activePane="bottomLeft" state="frozen"/>
      <selection pane="bottomLeft" activeCell="A1" sqref="A1"/>
    </sheetView>
  </sheetViews>
  <sheetFormatPr baseColWidth="8" defaultRowHeight="15"/>
  <cols>
    <col width="15" customWidth="1" style="10" min="1" max="1"/>
    <col width="11" customWidth="1" style="10" min="2" max="2"/>
    <col width="9" customWidth="1" style="10" min="3" max="3"/>
    <col width="40" customWidth="1" style="10" min="4" max="4"/>
    <col width="14" customWidth="1" style="10" min="5" max="5"/>
    <col width="16" customWidth="1" style="10" min="6" max="6"/>
    <col width="70" customWidth="1" style="10" min="7" max="7"/>
  </cols>
  <sheetData>
    <row r="1" ht="30" customHeight="1" s="10">
      <c r="A1" s="19" t="inlineStr">
        <is>
          <t>Niveau du test</t>
        </is>
      </c>
      <c r="B1" s="19" t="inlineStr">
        <is>
          <t>Code question</t>
        </is>
      </c>
      <c r="C1" s="19" t="inlineStr">
        <is>
          <t>Option</t>
        </is>
      </c>
      <c r="D1" s="19" t="inlineStr">
        <is>
          <t>Texte de l'option</t>
        </is>
      </c>
      <c r="E1" s="19" t="inlineStr">
        <is>
          <t>Bonne réponse</t>
        </is>
      </c>
      <c r="F1" s="19" t="inlineStr">
        <is>
          <t>Type d'erreur révélé</t>
        </is>
      </c>
      <c r="G1" s="19" t="inlineStr">
        <is>
          <t>Erreur qui conduit à cette option</t>
        </is>
      </c>
    </row>
    <row r="2">
      <c r="A2" s="20" t="inlineStr">
        <is>
          <t>6eme</t>
        </is>
      </c>
      <c r="B2" s="21" t="inlineStr">
        <is>
          <t>N2</t>
        </is>
      </c>
      <c r="C2" s="21" t="inlineStr">
        <is>
          <t>a</t>
        </is>
      </c>
      <c r="D2" s="20" t="inlineStr">
        <is>
          <t>5,09</t>
        </is>
      </c>
      <c r="E2" s="21" t="inlineStr">
        <is>
          <t>non</t>
        </is>
      </c>
      <c r="F2" s="21" t="inlineStr">
        <is>
          <t>CPT</t>
        </is>
      </c>
      <c r="G2" s="20" t="inlineStr">
        <is>
          <t>Les 5 centaines sont écrites comme 5 unités : l'ordre des rangs autour de la virgule est confondu.</t>
        </is>
      </c>
    </row>
    <row r="3">
      <c r="A3" s="22" t="inlineStr">
        <is>
          <t>6eme</t>
        </is>
      </c>
      <c r="B3" s="23" t="inlineStr">
        <is>
          <t>N2</t>
        </is>
      </c>
      <c r="C3" s="23" t="inlineStr">
        <is>
          <t>b</t>
        </is>
      </c>
      <c r="D3" s="22" t="inlineStr">
        <is>
          <t>509</t>
        </is>
      </c>
      <c r="E3" s="23" t="inlineStr">
        <is>
          <t>non</t>
        </is>
      </c>
      <c r="F3" s="23" t="inlineStr">
        <is>
          <t>CPT</t>
        </is>
      </c>
      <c r="G3" s="22" t="inlineStr">
        <is>
          <t>Les 9 centièmes sont écrits comme 9 unités : « centième » est lu comme « cent » et placé dans la partie entière.</t>
        </is>
      </c>
    </row>
    <row r="4">
      <c r="A4" s="20" t="inlineStr">
        <is>
          <t>6eme</t>
        </is>
      </c>
      <c r="B4" s="21" t="inlineStr">
        <is>
          <t>N2</t>
        </is>
      </c>
      <c r="C4" s="21" t="inlineStr">
        <is>
          <t>c</t>
        </is>
      </c>
      <c r="D4" s="20" t="inlineStr">
        <is>
          <t>500,9</t>
        </is>
      </c>
      <c r="E4" s="21" t="inlineStr">
        <is>
          <t>non</t>
        </is>
      </c>
      <c r="F4" s="21" t="inlineStr">
        <is>
          <t>PRC</t>
        </is>
      </c>
      <c r="G4" s="20" t="inlineStr">
        <is>
          <t>Le 9 est placé au premier rang après la virgule : le zéro des dixièmes est oublié, ce qui donne 9 dixièmes.</t>
        </is>
      </c>
    </row>
    <row r="5">
      <c r="A5" s="22" t="inlineStr">
        <is>
          <t>6eme</t>
        </is>
      </c>
      <c r="B5" s="23" t="inlineStr">
        <is>
          <t>N2</t>
        </is>
      </c>
      <c r="C5" s="23" t="inlineStr">
        <is>
          <t>d</t>
        </is>
      </c>
      <c r="D5" s="22" t="inlineStr">
        <is>
          <t>500,09</t>
        </is>
      </c>
      <c r="E5" s="23" t="inlineStr">
        <is>
          <t>OUI</t>
        </is>
      </c>
      <c r="F5" s="23" t="n"/>
      <c r="G5" s="22" t="n"/>
    </row>
    <row r="6">
      <c r="A6" s="20" t="inlineStr">
        <is>
          <t>6eme</t>
        </is>
      </c>
      <c r="B6" s="21" t="inlineStr">
        <is>
          <t>N5</t>
        </is>
      </c>
      <c r="C6" s="21" t="inlineStr">
        <is>
          <t>a</t>
        </is>
      </c>
      <c r="D6" s="20" t="inlineStr">
        <is>
          <t>15 kg</t>
        </is>
      </c>
      <c r="E6" s="21" t="inlineStr">
        <is>
          <t>non</t>
        </is>
      </c>
      <c r="F6" s="21" t="inlineStr">
        <is>
          <t>PRC</t>
        </is>
      </c>
      <c r="G6" s="20" t="inlineStr">
        <is>
          <t>Seul le quart est calculé (60 : 4 = 15) : la multiplication par 3 est omise.</t>
        </is>
      </c>
    </row>
    <row r="7">
      <c r="A7" s="22" t="inlineStr">
        <is>
          <t>6eme</t>
        </is>
      </c>
      <c r="B7" s="23" t="inlineStr">
        <is>
          <t>N5</t>
        </is>
      </c>
      <c r="C7" s="23" t="inlineStr">
        <is>
          <t>b</t>
        </is>
      </c>
      <c r="D7" s="22" t="inlineStr">
        <is>
          <t>20 kg</t>
        </is>
      </c>
      <c r="E7" s="23" t="inlineStr">
        <is>
          <t>non</t>
        </is>
      </c>
      <c r="F7" s="23" t="inlineStr">
        <is>
          <t>CPT</t>
        </is>
      </c>
      <c r="G7" s="22" t="inlineStr">
        <is>
          <t>Division par le numérateur (60 : 3 = 20) : les rôles du numérateur et du dénominateur sont confondus.</t>
        </is>
      </c>
    </row>
    <row r="8">
      <c r="A8" s="20" t="inlineStr">
        <is>
          <t>6eme</t>
        </is>
      </c>
      <c r="B8" s="21" t="inlineStr">
        <is>
          <t>N5</t>
        </is>
      </c>
      <c r="C8" s="21" t="inlineStr">
        <is>
          <t>c</t>
        </is>
      </c>
      <c r="D8" s="20" t="inlineStr">
        <is>
          <t>45 kg</t>
        </is>
      </c>
      <c r="E8" s="21" t="inlineStr">
        <is>
          <t>OUI</t>
        </is>
      </c>
      <c r="F8" s="21" t="n"/>
      <c r="G8" s="20" t="n"/>
    </row>
    <row r="9">
      <c r="A9" s="22" t="inlineStr">
        <is>
          <t>6eme</t>
        </is>
      </c>
      <c r="B9" s="23" t="inlineStr">
        <is>
          <t>N5</t>
        </is>
      </c>
      <c r="C9" s="23" t="inlineStr">
        <is>
          <t>d</t>
        </is>
      </c>
      <c r="D9" s="22" t="inlineStr">
        <is>
          <t>80 kg</t>
        </is>
      </c>
      <c r="E9" s="23" t="inlineStr">
        <is>
          <t>non</t>
        </is>
      </c>
      <c r="F9" s="23" t="inlineStr">
        <is>
          <t>CPT</t>
        </is>
      </c>
      <c r="G9" s="22" t="inlineStr">
        <is>
          <t>La fraction est appliquée à l'envers (60 : 3 × 4 = 80) : l'élève prend les quatre tiers au lieu des trois quarts.</t>
        </is>
      </c>
    </row>
    <row r="10">
      <c r="A10" s="20" t="inlineStr">
        <is>
          <t>6eme</t>
        </is>
      </c>
      <c r="B10" s="21" t="inlineStr">
        <is>
          <t>N7</t>
        </is>
      </c>
      <c r="C10" s="21" t="inlineStr">
        <is>
          <t>a</t>
        </is>
      </c>
      <c r="D10" s="20" t="inlineStr">
        <is>
          <t>(20 000 - 3 500) × 4</t>
        </is>
      </c>
      <c r="E10" s="21" t="inlineStr">
        <is>
          <t>non</t>
        </is>
      </c>
      <c r="F10" s="21" t="inlineStr">
        <is>
          <t>MOD</t>
        </is>
      </c>
      <c r="G10" s="20" t="inlineStr">
        <is>
          <t>La monnaie d'un seul pagne est calculée puis multipliée par 4, comme si chaque pagne était payé avec un billet de 20 000 FCFA.</t>
        </is>
      </c>
    </row>
    <row r="11">
      <c r="A11" s="22" t="inlineStr">
        <is>
          <t>6eme</t>
        </is>
      </c>
      <c r="B11" s="23" t="inlineStr">
        <is>
          <t>N7</t>
        </is>
      </c>
      <c r="C11" s="23" t="inlineStr">
        <is>
          <t>b</t>
        </is>
      </c>
      <c r="D11" s="22" t="inlineStr">
        <is>
          <t>20 000 - 4 × 3 500</t>
        </is>
      </c>
      <c r="E11" s="23" t="inlineStr">
        <is>
          <t>OUI</t>
        </is>
      </c>
      <c r="F11" s="23" t="n"/>
      <c r="G11" s="22" t="n"/>
    </row>
    <row r="12">
      <c r="A12" s="20" t="inlineStr">
        <is>
          <t>6eme</t>
        </is>
      </c>
      <c r="B12" s="21" t="inlineStr">
        <is>
          <t>N7</t>
        </is>
      </c>
      <c r="C12" s="21" t="inlineStr">
        <is>
          <t>c</t>
        </is>
      </c>
      <c r="D12" s="20" t="inlineStr">
        <is>
          <t>4 × 3 500 - 20 000</t>
        </is>
      </c>
      <c r="E12" s="21" t="inlineStr">
        <is>
          <t>non</t>
        </is>
      </c>
      <c r="F12" s="21" t="inlineStr">
        <is>
          <t>CPT</t>
        </is>
      </c>
      <c r="G12" s="20" t="inlineStr">
        <is>
          <t>Les termes de la soustraction sont inversés : la soustraction est traitée comme si l'ordre ne comptait pas (le résultat serait négatif).</t>
        </is>
      </c>
    </row>
    <row r="13">
      <c r="A13" s="22" t="inlineStr">
        <is>
          <t>6eme</t>
        </is>
      </c>
      <c r="B13" s="23" t="inlineStr">
        <is>
          <t>N7</t>
        </is>
      </c>
      <c r="C13" s="23" t="inlineStr">
        <is>
          <t>d</t>
        </is>
      </c>
      <c r="D13" s="22" t="inlineStr">
        <is>
          <t>20 000 - 3 500 + 4</t>
        </is>
      </c>
      <c r="E13" s="23" t="inlineStr">
        <is>
          <t>non</t>
        </is>
      </c>
      <c r="F13" s="23" t="inlineStr">
        <is>
          <t>MOD</t>
        </is>
      </c>
      <c r="G13" s="22" t="inlineStr">
        <is>
          <t>Le nombre de pagnes est ajouté comme une somme d'argent : la quantité 4 n'est pas traduite en multiplication.</t>
        </is>
      </c>
    </row>
    <row r="14">
      <c r="A14" s="20" t="inlineStr">
        <is>
          <t>6eme</t>
        </is>
      </c>
      <c r="B14" s="21" t="inlineStr">
        <is>
          <t>M3</t>
        </is>
      </c>
      <c r="C14" s="21" t="inlineStr">
        <is>
          <t>a</t>
        </is>
      </c>
      <c r="D14" s="20" t="inlineStr">
        <is>
          <t>14 cm²</t>
        </is>
      </c>
      <c r="E14" s="21" t="inlineStr">
        <is>
          <t>OUI</t>
        </is>
      </c>
      <c r="F14" s="21" t="n"/>
      <c r="G14" s="20" t="n"/>
    </row>
    <row r="15">
      <c r="A15" s="22" t="inlineStr">
        <is>
          <t>6eme</t>
        </is>
      </c>
      <c r="B15" s="23" t="inlineStr">
        <is>
          <t>M3</t>
        </is>
      </c>
      <c r="C15" s="23" t="inlineStr">
        <is>
          <t>b</t>
        </is>
      </c>
      <c r="D15" s="22" t="inlineStr">
        <is>
          <t>17,5 cm²</t>
        </is>
      </c>
      <c r="E15" s="23" t="inlineStr">
        <is>
          <t>non</t>
        </is>
      </c>
      <c r="F15" s="23" t="inlineStr">
        <is>
          <t>CPT</t>
        </is>
      </c>
      <c r="G15" s="22" t="inlineStr">
        <is>
          <t>Le côté de 5 cm est pris pour la hauteur (7 × 5 : 2 = 17,5) : la hauteur n'est pas reconnue comme perpendiculaire à la base.</t>
        </is>
      </c>
    </row>
    <row r="16">
      <c r="A16" s="20" t="inlineStr">
        <is>
          <t>6eme</t>
        </is>
      </c>
      <c r="B16" s="21" t="inlineStr">
        <is>
          <t>M3</t>
        </is>
      </c>
      <c r="C16" s="21" t="inlineStr">
        <is>
          <t>c</t>
        </is>
      </c>
      <c r="D16" s="20" t="inlineStr">
        <is>
          <t>28 cm²</t>
        </is>
      </c>
      <c r="E16" s="21" t="inlineStr">
        <is>
          <t>non</t>
        </is>
      </c>
      <c r="F16" s="21" t="inlineStr">
        <is>
          <t>CNS</t>
        </is>
      </c>
      <c r="G16" s="20" t="inlineStr">
        <is>
          <t>La division par 2 est oubliée (7 × 4 = 28) : la formule de l'aire du rectangle remplace celle du triangle.</t>
        </is>
      </c>
    </row>
    <row r="17">
      <c r="A17" s="22" t="inlineStr">
        <is>
          <t>6eme</t>
        </is>
      </c>
      <c r="B17" s="23" t="inlineStr">
        <is>
          <t>M3</t>
        </is>
      </c>
      <c r="C17" s="23" t="inlineStr">
        <is>
          <t>d</t>
        </is>
      </c>
      <c r="D17" s="22" t="inlineStr">
        <is>
          <t>16 cm²</t>
        </is>
      </c>
      <c r="E17" s="23" t="inlineStr">
        <is>
          <t>non</t>
        </is>
      </c>
      <c r="F17" s="23" t="inlineStr">
        <is>
          <t>CPT</t>
        </is>
      </c>
      <c r="G17" s="22" t="inlineStr">
        <is>
          <t>Les trois longueurs données sont additionnées (7 + 4 + 5 = 16) : l'aire est confondue avec une somme de longueurs.</t>
        </is>
      </c>
    </row>
    <row r="18">
      <c r="A18" s="20" t="inlineStr">
        <is>
          <t>6eme</t>
        </is>
      </c>
      <c r="B18" s="21" t="inlineStr">
        <is>
          <t>G3</t>
        </is>
      </c>
      <c r="C18" s="21" t="inlineStr">
        <is>
          <t>a</t>
        </is>
      </c>
      <c r="D18" s="20" t="inlineStr">
        <is>
          <t>40°</t>
        </is>
      </c>
      <c r="E18" s="21" t="inlineStr">
        <is>
          <t>non</t>
        </is>
      </c>
      <c r="F18" s="21" t="inlineStr">
        <is>
          <t>CNS</t>
        </is>
      </c>
      <c r="G18" s="20" t="inlineStr">
        <is>
          <t>La petite lecture est retenue : la définition de l'angle obtus (plus de 90°) n'est pas mobilisée pour choisir la graduation.</t>
        </is>
      </c>
    </row>
    <row r="19">
      <c r="A19" s="22" t="inlineStr">
        <is>
          <t>6eme</t>
        </is>
      </c>
      <c r="B19" s="23" t="inlineStr">
        <is>
          <t>G3</t>
        </is>
      </c>
      <c r="C19" s="23" t="inlineStr">
        <is>
          <t>b</t>
        </is>
      </c>
      <c r="D19" s="22" t="inlineStr">
        <is>
          <t>140°</t>
        </is>
      </c>
      <c r="E19" s="23" t="inlineStr">
        <is>
          <t>OUI</t>
        </is>
      </c>
      <c r="F19" s="23" t="n"/>
      <c r="G19" s="22" t="n"/>
    </row>
    <row r="20">
      <c r="A20" s="20" t="inlineStr">
        <is>
          <t>6eme</t>
        </is>
      </c>
      <c r="B20" s="21" t="inlineStr">
        <is>
          <t>G3</t>
        </is>
      </c>
      <c r="C20" s="21" t="inlineStr">
        <is>
          <t>c</t>
        </is>
      </c>
      <c r="D20" s="20" t="inlineStr">
        <is>
          <t>180°</t>
        </is>
      </c>
      <c r="E20" s="21" t="inlineStr">
        <is>
          <t>non</t>
        </is>
      </c>
      <c r="F20" s="21" t="inlineStr">
        <is>
          <t>CPT</t>
        </is>
      </c>
      <c r="G20" s="20" t="inlineStr">
        <is>
          <t>Les deux lectures sont additionnées (40 + 140 = 180) : les deux graduations sont vues comme deux morceaux de l'angle.</t>
        </is>
      </c>
    </row>
    <row r="21">
      <c r="A21" s="22" t="inlineStr">
        <is>
          <t>6eme</t>
        </is>
      </c>
      <c r="B21" s="23" t="inlineStr">
        <is>
          <t>G3</t>
        </is>
      </c>
      <c r="C21" s="23" t="inlineStr">
        <is>
          <t>d</t>
        </is>
      </c>
      <c r="D21" s="22" t="inlineStr">
        <is>
          <t>100°</t>
        </is>
      </c>
      <c r="E21" s="23" t="inlineStr">
        <is>
          <t>non</t>
        </is>
      </c>
      <c r="F21" s="23" t="inlineStr">
        <is>
          <t>CPT</t>
        </is>
      </c>
      <c r="G21" s="22" t="inlineStr">
        <is>
          <t>La différence des deux lectures est prise (140 - 40 = 100) : la double graduation du rapporteur n'est pas comprise.</t>
        </is>
      </c>
    </row>
    <row r="22">
      <c r="A22" s="20" t="inlineStr">
        <is>
          <t>6eme</t>
        </is>
      </c>
      <c r="B22" s="21" t="inlineStr">
        <is>
          <t>D2</t>
        </is>
      </c>
      <c r="C22" s="21" t="inlineStr">
        <is>
          <t>a</t>
        </is>
      </c>
      <c r="D22" s="20" t="inlineStr">
        <is>
          <t>50 %</t>
        </is>
      </c>
      <c r="E22" s="21" t="inlineStr">
        <is>
          <t>non</t>
        </is>
      </c>
      <c r="F22" s="21" t="inlineStr">
        <is>
          <t>CNS</t>
        </is>
      </c>
      <c r="G22" s="20" t="inlineStr">
        <is>
          <t>L'effectif 50 est recopié comme pourcentage : la notion de pourcentage (rapport ramené à 100) n'est pas disponible.</t>
        </is>
      </c>
    </row>
    <row r="23">
      <c r="A23" s="22" t="inlineStr">
        <is>
          <t>6eme</t>
        </is>
      </c>
      <c r="B23" s="23" t="inlineStr">
        <is>
          <t>D2</t>
        </is>
      </c>
      <c r="C23" s="23" t="inlineStr">
        <is>
          <t>b</t>
        </is>
      </c>
      <c r="D23" s="22" t="inlineStr">
        <is>
          <t>4 %</t>
        </is>
      </c>
      <c r="E23" s="23" t="inlineStr">
        <is>
          <t>non</t>
        </is>
      </c>
      <c r="F23" s="23" t="inlineStr">
        <is>
          <t>CPT</t>
        </is>
      </c>
      <c r="G23" s="22" t="inlineStr">
        <is>
          <t>Le rapport est inversé (200 : 50 = 4) : l'effectif total est divisé par la partie.</t>
        </is>
      </c>
    </row>
    <row r="24">
      <c r="A24" s="20" t="inlineStr">
        <is>
          <t>6eme</t>
        </is>
      </c>
      <c r="B24" s="21" t="inlineStr">
        <is>
          <t>D2</t>
        </is>
      </c>
      <c r="C24" s="21" t="inlineStr">
        <is>
          <t>c</t>
        </is>
      </c>
      <c r="D24" s="20" t="inlineStr">
        <is>
          <t>40 %</t>
        </is>
      </c>
      <c r="E24" s="21" t="inlineStr">
        <is>
          <t>non</t>
        </is>
      </c>
      <c r="F24" s="21" t="inlineStr">
        <is>
          <t>CPT</t>
        </is>
      </c>
      <c r="G24" s="20" t="inlineStr">
        <is>
          <t>Rapport inversé (200 : 50 = 4) puis 4 lu comme 0,4, soit 40 % : erreur de sens du rapport aggravée d'une virgule mal placée.</t>
        </is>
      </c>
    </row>
    <row r="25">
      <c r="A25" s="22" t="inlineStr">
        <is>
          <t>6eme</t>
        </is>
      </c>
      <c r="B25" s="23" t="inlineStr">
        <is>
          <t>D2</t>
        </is>
      </c>
      <c r="C25" s="23" t="inlineStr">
        <is>
          <t>d</t>
        </is>
      </c>
      <c r="D25" s="22" t="inlineStr">
        <is>
          <t>25 %</t>
        </is>
      </c>
      <c r="E25" s="23" t="inlineStr">
        <is>
          <t>OUI</t>
        </is>
      </c>
      <c r="F25" s="23" t="n"/>
      <c r="G25" s="22" t="n"/>
    </row>
    <row r="26">
      <c r="A26" s="20" t="inlineStr">
        <is>
          <t>5eme</t>
        </is>
      </c>
      <c r="B26" s="21" t="inlineStr">
        <is>
          <t>N6</t>
        </is>
      </c>
      <c r="C26" s="21" t="inlineStr">
        <is>
          <t>a</t>
        </is>
      </c>
      <c r="D26" s="20" t="inlineStr">
        <is>
          <t>18/24</t>
        </is>
      </c>
      <c r="E26" s="21" t="inlineStr">
        <is>
          <t>non</t>
        </is>
      </c>
      <c r="F26" s="21" t="inlineStr">
        <is>
          <t>CNS</t>
        </is>
      </c>
      <c r="G26" s="20" t="inlineStr">
        <is>
          <t>Diviser seulement par 2 (36 ÷ 2 = 18, 48 ÷ 2 = 24) et s'arrêter : la fraction irréductible n'est pas connue.</t>
        </is>
      </c>
    </row>
    <row r="27">
      <c r="A27" s="22" t="inlineStr">
        <is>
          <t>5eme</t>
        </is>
      </c>
      <c r="B27" s="23" t="inlineStr">
        <is>
          <t>N6</t>
        </is>
      </c>
      <c r="C27" s="23" t="inlineStr">
        <is>
          <t>b</t>
        </is>
      </c>
      <c r="D27" s="22" t="inlineStr">
        <is>
          <t>3/4</t>
        </is>
      </c>
      <c r="E27" s="23" t="inlineStr">
        <is>
          <t>OUI</t>
        </is>
      </c>
      <c r="F27" s="23" t="n"/>
      <c r="G27" s="22" t="n"/>
    </row>
    <row r="28">
      <c r="A28" s="20" t="inlineStr">
        <is>
          <t>5eme</t>
        </is>
      </c>
      <c r="B28" s="21" t="inlineStr">
        <is>
          <t>N6</t>
        </is>
      </c>
      <c r="C28" s="21" t="inlineStr">
        <is>
          <t>c</t>
        </is>
      </c>
      <c r="D28" s="20" t="inlineStr">
        <is>
          <t>6/8</t>
        </is>
      </c>
      <c r="E28" s="21" t="inlineStr">
        <is>
          <t>non</t>
        </is>
      </c>
      <c r="F28" s="21" t="inlineStr">
        <is>
          <t>PRC</t>
        </is>
      </c>
      <c r="G28" s="20" t="inlineStr">
        <is>
          <t>Diviser par 6 (36 ÷ 6 = 6, 48 ÷ 6 = 8) sans vérifier qu'il reste le diviseur commun 2.</t>
        </is>
      </c>
    </row>
    <row r="29">
      <c r="A29" s="22" t="inlineStr">
        <is>
          <t>5eme</t>
        </is>
      </c>
      <c r="B29" s="23" t="inlineStr">
        <is>
          <t>N6</t>
        </is>
      </c>
      <c r="C29" s="23" t="inlineStr">
        <is>
          <t>d</t>
        </is>
      </c>
      <c r="D29" s="22" t="inlineStr">
        <is>
          <t>4/3</t>
        </is>
      </c>
      <c r="E29" s="23" t="inlineStr">
        <is>
          <t>non</t>
        </is>
      </c>
      <c r="F29" s="23" t="inlineStr">
        <is>
          <t>CPT</t>
        </is>
      </c>
      <c r="G29" s="22" t="inlineStr">
        <is>
          <t>Simplifier par 12 (36 ÷ 12 = 3, 48 ÷ 12 = 4) puis échanger numérateur et dénominateur.</t>
        </is>
      </c>
    </row>
    <row r="30">
      <c r="A30" s="20" t="inlineStr">
        <is>
          <t>5eme</t>
        </is>
      </c>
      <c r="B30" s="21" t="inlineStr">
        <is>
          <t>M3</t>
        </is>
      </c>
      <c r="C30" s="21" t="inlineStr">
        <is>
          <t>a</t>
        </is>
      </c>
      <c r="D30" s="20" t="inlineStr">
        <is>
          <t>25 cm²</t>
        </is>
      </c>
      <c r="E30" s="21" t="inlineStr">
        <is>
          <t>non</t>
        </is>
      </c>
      <c r="F30" s="21" t="inlineStr">
        <is>
          <t>CNS</t>
        </is>
      </c>
      <c r="G30" s="20" t="inlineStr">
        <is>
          <t>Calculer l'aire d'une seule face, 5 × 5 = 25 : l'aire totale n'est pas connue.</t>
        </is>
      </c>
    </row>
    <row r="31">
      <c r="A31" s="22" t="inlineStr">
        <is>
          <t>5eme</t>
        </is>
      </c>
      <c r="B31" s="23" t="inlineStr">
        <is>
          <t>M3</t>
        </is>
      </c>
      <c r="C31" s="23" t="inlineStr">
        <is>
          <t>b</t>
        </is>
      </c>
      <c r="D31" s="22" t="inlineStr">
        <is>
          <t>125 cm²</t>
        </is>
      </c>
      <c r="E31" s="23" t="inlineStr">
        <is>
          <t>non</t>
        </is>
      </c>
      <c r="F31" s="23" t="inlineStr">
        <is>
          <t>CPT</t>
        </is>
      </c>
      <c r="G31" s="22" t="inlineStr">
        <is>
          <t>Calculer le volume 5 × 5 × 5 = 125 au lieu de l'aire totale.</t>
        </is>
      </c>
    </row>
    <row r="32">
      <c r="A32" s="20" t="inlineStr">
        <is>
          <t>5eme</t>
        </is>
      </c>
      <c r="B32" s="21" t="inlineStr">
        <is>
          <t>M3</t>
        </is>
      </c>
      <c r="C32" s="21" t="inlineStr">
        <is>
          <t>c</t>
        </is>
      </c>
      <c r="D32" s="20" t="inlineStr">
        <is>
          <t>30 cm²</t>
        </is>
      </c>
      <c r="E32" s="21" t="inlineStr">
        <is>
          <t>non</t>
        </is>
      </c>
      <c r="F32" s="21" t="inlineStr">
        <is>
          <t>PRC</t>
        </is>
      </c>
      <c r="G32" s="20" t="inlineStr">
        <is>
          <t>Compter les six faces mais prendre 5 pour l'aire d'une face : 6 × 5 = 30 au lieu de 6 × 25.</t>
        </is>
      </c>
    </row>
    <row r="33">
      <c r="A33" s="22" t="inlineStr">
        <is>
          <t>5eme</t>
        </is>
      </c>
      <c r="B33" s="23" t="inlineStr">
        <is>
          <t>M3</t>
        </is>
      </c>
      <c r="C33" s="23" t="inlineStr">
        <is>
          <t>d</t>
        </is>
      </c>
      <c r="D33" s="22" t="inlineStr">
        <is>
          <t>150 cm²</t>
        </is>
      </c>
      <c r="E33" s="23" t="inlineStr">
        <is>
          <t>OUI</t>
        </is>
      </c>
      <c r="F33" s="23" t="n"/>
      <c r="G33" s="22" t="n"/>
    </row>
    <row r="34">
      <c r="A34" s="20" t="inlineStr">
        <is>
          <t>5eme</t>
        </is>
      </c>
      <c r="B34" s="21" t="inlineStr">
        <is>
          <t>G4</t>
        </is>
      </c>
      <c r="C34" s="21" t="inlineStr">
        <is>
          <t>a</t>
        </is>
      </c>
      <c r="D34" s="20" t="inlineStr">
        <is>
          <t>P est le milieu de [EF]</t>
        </is>
      </c>
      <c r="E34" s="21" t="inlineStr">
        <is>
          <t>non</t>
        </is>
      </c>
      <c r="F34" s="21" t="inlineStr">
        <is>
          <t>CPT</t>
        </is>
      </c>
      <c r="G34" s="20" t="inlineStr">
        <is>
          <t>Confondre la médiatrice avec le milieu du segment.</t>
        </is>
      </c>
    </row>
    <row r="35">
      <c r="A35" s="22" t="inlineStr">
        <is>
          <t>5eme</t>
        </is>
      </c>
      <c r="B35" s="23" t="inlineStr">
        <is>
          <t>G4</t>
        </is>
      </c>
      <c r="C35" s="23" t="inlineStr">
        <is>
          <t>b</t>
        </is>
      </c>
      <c r="D35" s="22" t="inlineStr">
        <is>
          <t>PE = EF</t>
        </is>
      </c>
      <c r="E35" s="23" t="inlineStr">
        <is>
          <t>non</t>
        </is>
      </c>
      <c r="F35" s="23" t="inlineStr">
        <is>
          <t>CNS</t>
        </is>
      </c>
      <c r="G35" s="22" t="inlineStr">
        <is>
          <t>Retenir vaguement une égalité de longueurs sans savoir laquelle : l'équidistance n'est pas connue.</t>
        </is>
      </c>
    </row>
    <row r="36">
      <c r="A36" s="20" t="inlineStr">
        <is>
          <t>5eme</t>
        </is>
      </c>
      <c r="B36" s="21" t="inlineStr">
        <is>
          <t>G4</t>
        </is>
      </c>
      <c r="C36" s="21" t="inlineStr">
        <is>
          <t>c</t>
        </is>
      </c>
      <c r="D36" s="20" t="inlineStr">
        <is>
          <t>PE = PF</t>
        </is>
      </c>
      <c r="E36" s="21" t="inlineStr">
        <is>
          <t>OUI</t>
        </is>
      </c>
      <c r="F36" s="21" t="n"/>
      <c r="G36" s="20" t="n"/>
    </row>
    <row r="37">
      <c r="A37" s="22" t="inlineStr">
        <is>
          <t>5eme</t>
        </is>
      </c>
      <c r="B37" s="23" t="inlineStr">
        <is>
          <t>G4</t>
        </is>
      </c>
      <c r="C37" s="23" t="inlineStr">
        <is>
          <t>d</t>
        </is>
      </c>
      <c r="D37" s="22" t="inlineStr">
        <is>
          <t>(PE) ⊥ (PF)</t>
        </is>
      </c>
      <c r="E37" s="23" t="inlineStr">
        <is>
          <t>non</t>
        </is>
      </c>
      <c r="F37" s="23" t="inlineStr">
        <is>
          <t>CPT</t>
        </is>
      </c>
      <c r="G37" s="22" t="inlineStr">
        <is>
          <t>Transférer la perpendicularité de la médiatrice à [EF] aux droites (PE) et (PF).</t>
        </is>
      </c>
    </row>
    <row r="38">
      <c r="A38" s="20" t="inlineStr">
        <is>
          <t>5eme</t>
        </is>
      </c>
      <c r="B38" s="21" t="inlineStr">
        <is>
          <t>G5</t>
        </is>
      </c>
      <c r="C38" s="21" t="inlineStr">
        <is>
          <t>a</t>
        </is>
      </c>
      <c r="D38" s="20" t="inlineStr">
        <is>
          <t>AB = BC</t>
        </is>
      </c>
      <c r="E38" s="21" t="inlineStr">
        <is>
          <t>non</t>
        </is>
      </c>
      <c r="F38" s="21" t="inlineStr">
        <is>
          <t>CPT</t>
        </is>
      </c>
      <c r="G38" s="20" t="inlineStr">
        <is>
          <t>Attribuer au parallélogramme une propriété du losange (côtés consécutifs égaux).</t>
        </is>
      </c>
    </row>
    <row r="39">
      <c r="A39" s="22" t="inlineStr">
        <is>
          <t>5eme</t>
        </is>
      </c>
      <c r="B39" s="23" t="inlineStr">
        <is>
          <t>G5</t>
        </is>
      </c>
      <c r="C39" s="23" t="inlineStr">
        <is>
          <t>b</t>
        </is>
      </c>
      <c r="D39" s="22" t="inlineStr">
        <is>
          <t>AC = BD</t>
        </is>
      </c>
      <c r="E39" s="23" t="inlineStr">
        <is>
          <t>non</t>
        </is>
      </c>
      <c r="F39" s="23" t="inlineStr">
        <is>
          <t>CPT</t>
        </is>
      </c>
      <c r="G39" s="22" t="inlineStr">
        <is>
          <t>Attribuer au parallélogramme une propriété du rectangle (diagonales de même longueur).</t>
        </is>
      </c>
    </row>
    <row r="40">
      <c r="A40" s="20" t="inlineStr">
        <is>
          <t>5eme</t>
        </is>
      </c>
      <c r="B40" s="21" t="inlineStr">
        <is>
          <t>G5</t>
        </is>
      </c>
      <c r="C40" s="21" t="inlineStr">
        <is>
          <t>c</t>
        </is>
      </c>
      <c r="D40" s="20" t="inlineStr">
        <is>
          <t>(AB) ⊥ (BC)</t>
        </is>
      </c>
      <c r="E40" s="21" t="inlineStr">
        <is>
          <t>non</t>
        </is>
      </c>
      <c r="F40" s="21" t="inlineStr">
        <is>
          <t>CPT</t>
        </is>
      </c>
      <c r="G40" s="20" t="inlineStr">
        <is>
          <t>Imaginer le parallélogramme rectangle et lui attribuer un angle droit.</t>
        </is>
      </c>
    </row>
    <row r="41">
      <c r="A41" s="22" t="inlineStr">
        <is>
          <t>5eme</t>
        </is>
      </c>
      <c r="B41" s="23" t="inlineStr">
        <is>
          <t>G5</t>
        </is>
      </c>
      <c r="C41" s="23" t="inlineStr">
        <is>
          <t>d</t>
        </is>
      </c>
      <c r="D41" s="22" t="inlineStr">
        <is>
          <t>O est le milieu de [AC]</t>
        </is>
      </c>
      <c r="E41" s="23" t="inlineStr">
        <is>
          <t>OUI</t>
        </is>
      </c>
      <c r="F41" s="23" t="n"/>
      <c r="G41" s="22" t="n"/>
    </row>
    <row r="42">
      <c r="A42" s="20" t="inlineStr">
        <is>
          <t>5eme</t>
        </is>
      </c>
      <c r="B42" s="21" t="inlineStr">
        <is>
          <t>D1</t>
        </is>
      </c>
      <c r="C42" s="21" t="inlineStr">
        <is>
          <t>a</t>
        </is>
      </c>
      <c r="D42" s="20" t="inlineStr">
        <is>
          <t>360 000 FCFA</t>
        </is>
      </c>
      <c r="E42" s="21" t="inlineStr">
        <is>
          <t>OUI</t>
        </is>
      </c>
      <c r="F42" s="21" t="n"/>
      <c r="G42" s="20" t="n"/>
    </row>
    <row r="43">
      <c r="A43" s="22" t="inlineStr">
        <is>
          <t>5eme</t>
        </is>
      </c>
      <c r="B43" s="23" t="inlineStr">
        <is>
          <t>D1</t>
        </is>
      </c>
      <c r="C43" s="23" t="inlineStr">
        <is>
          <t>b</t>
        </is>
      </c>
      <c r="D43" s="22" t="inlineStr">
        <is>
          <t>90 000 FCFA</t>
        </is>
      </c>
      <c r="E43" s="23" t="inlineStr">
        <is>
          <t>non</t>
        </is>
      </c>
      <c r="F43" s="23" t="inlineStr">
        <is>
          <t>PRC</t>
        </is>
      </c>
      <c r="G43" s="22" t="inlineStr">
        <is>
          <t>Calculer la remise 450 000 × 20/100 = 90 000 et oublier de la retrancher du prix affiché.</t>
        </is>
      </c>
    </row>
    <row r="44">
      <c r="A44" s="20" t="inlineStr">
        <is>
          <t>5eme</t>
        </is>
      </c>
      <c r="B44" s="21" t="inlineStr">
        <is>
          <t>D1</t>
        </is>
      </c>
      <c r="C44" s="21" t="inlineStr">
        <is>
          <t>c</t>
        </is>
      </c>
      <c r="D44" s="20" t="inlineStr">
        <is>
          <t>430 000 FCFA</t>
        </is>
      </c>
      <c r="E44" s="21" t="inlineStr">
        <is>
          <t>non</t>
        </is>
      </c>
      <c r="F44" s="21" t="inlineStr">
        <is>
          <t>CPT</t>
        </is>
      </c>
      <c r="G44" s="20" t="inlineStr">
        <is>
          <t>Lire 20 % comme 20 000 FCFA : 450 000 - 20 000 = 430 000.</t>
        </is>
      </c>
    </row>
    <row r="45">
      <c r="A45" s="22" t="inlineStr">
        <is>
          <t>5eme</t>
        </is>
      </c>
      <c r="B45" s="23" t="inlineStr">
        <is>
          <t>D1</t>
        </is>
      </c>
      <c r="C45" s="23" t="inlineStr">
        <is>
          <t>d</t>
        </is>
      </c>
      <c r="D45" s="22" t="inlineStr">
        <is>
          <t>540 000 FCFA</t>
        </is>
      </c>
      <c r="E45" s="23" t="inlineStr">
        <is>
          <t>non</t>
        </is>
      </c>
      <c r="F45" s="23" t="inlineStr">
        <is>
          <t>MOD</t>
        </is>
      </c>
      <c r="G45" s="22" t="inlineStr">
        <is>
          <t>Ajouter la remise au lieu de la retrancher : 450 000 + 90 000 = 540 000.</t>
        </is>
      </c>
    </row>
    <row r="46">
      <c r="A46" s="20" t="inlineStr">
        <is>
          <t>4eme</t>
        </is>
      </c>
      <c r="B46" s="21" t="inlineStr">
        <is>
          <t>N2</t>
        </is>
      </c>
      <c r="C46" s="21" t="inlineStr">
        <is>
          <t>a</t>
        </is>
      </c>
      <c r="D46" s="20" t="inlineStr">
        <is>
          <t>-34</t>
        </is>
      </c>
      <c r="E46" s="21" t="inlineStr">
        <is>
          <t>non</t>
        </is>
      </c>
      <c r="F46" s="21" t="inlineStr">
        <is>
          <t>CPT</t>
        </is>
      </c>
      <c r="G46" s="20" t="inlineStr">
        <is>
          <t>Tous les termes sont traités comme négatifs : -8 - 15 - 11 = -34.</t>
        </is>
      </c>
    </row>
    <row r="47">
      <c r="A47" s="22" t="inlineStr">
        <is>
          <t>4eme</t>
        </is>
      </c>
      <c r="B47" s="23" t="inlineStr">
        <is>
          <t>N2</t>
        </is>
      </c>
      <c r="C47" s="23" t="inlineStr">
        <is>
          <t>b</t>
        </is>
      </c>
      <c r="D47" s="22" t="inlineStr">
        <is>
          <t>+4</t>
        </is>
      </c>
      <c r="E47" s="23" t="inlineStr">
        <is>
          <t>non</t>
        </is>
      </c>
      <c r="F47" s="23" t="inlineStr">
        <is>
          <t>PRC</t>
        </is>
      </c>
      <c r="G47" s="22" t="inlineStr">
        <is>
          <t>Le calcul -8 + 15 = 7 est juste, puis 7 + (-11) est fait comme 11 - 7 = 4 en gardant le signe +.</t>
        </is>
      </c>
    </row>
    <row r="48">
      <c r="A48" s="20" t="inlineStr">
        <is>
          <t>4eme</t>
        </is>
      </c>
      <c r="B48" s="21" t="inlineStr">
        <is>
          <t>N2</t>
        </is>
      </c>
      <c r="C48" s="21" t="inlineStr">
        <is>
          <t>c</t>
        </is>
      </c>
      <c r="D48" s="20" t="inlineStr">
        <is>
          <t>-4</t>
        </is>
      </c>
      <c r="E48" s="21" t="inlineStr">
        <is>
          <t>OUI</t>
        </is>
      </c>
      <c r="F48" s="21" t="n"/>
      <c r="G48" s="20" t="n"/>
    </row>
    <row r="49">
      <c r="A49" s="22" t="inlineStr">
        <is>
          <t>4eme</t>
        </is>
      </c>
      <c r="B49" s="23" t="inlineStr">
        <is>
          <t>N2</t>
        </is>
      </c>
      <c r="C49" s="23" t="inlineStr">
        <is>
          <t>d</t>
        </is>
      </c>
      <c r="D49" s="22" t="inlineStr">
        <is>
          <t>+34</t>
        </is>
      </c>
      <c r="E49" s="23" t="inlineStr">
        <is>
          <t>non</t>
        </is>
      </c>
      <c r="F49" s="23" t="inlineStr">
        <is>
          <t>CNS</t>
        </is>
      </c>
      <c r="G49" s="22" t="inlineStr">
        <is>
          <t>Les signes sont ignorés : 8 + 15 + 11 = 34.</t>
        </is>
      </c>
    </row>
    <row r="50">
      <c r="A50" s="20" t="inlineStr">
        <is>
          <t>4eme</t>
        </is>
      </c>
      <c r="B50" s="21" t="inlineStr">
        <is>
          <t>L1</t>
        </is>
      </c>
      <c r="C50" s="21" t="inlineStr">
        <is>
          <t>a</t>
        </is>
      </c>
      <c r="D50" s="20" t="inlineStr">
        <is>
          <t>ajouter 5</t>
        </is>
      </c>
      <c r="E50" s="21" t="inlineStr">
        <is>
          <t>non</t>
        </is>
      </c>
      <c r="F50" s="21" t="inlineStr">
        <is>
          <t>CPT</t>
        </is>
      </c>
      <c r="G50" s="20" t="inlineStr">
        <is>
          <t>x/5 est lu comme x - 5 : la division est confondue avec une soustraction, que l'on compense en ajoutant 5.</t>
        </is>
      </c>
    </row>
    <row r="51">
      <c r="A51" s="22" t="inlineStr">
        <is>
          <t>4eme</t>
        </is>
      </c>
      <c r="B51" s="23" t="inlineStr">
        <is>
          <t>L1</t>
        </is>
      </c>
      <c r="C51" s="23" t="inlineStr">
        <is>
          <t>b</t>
        </is>
      </c>
      <c r="D51" s="22" t="inlineStr">
        <is>
          <t>soustraire 5</t>
        </is>
      </c>
      <c r="E51" s="23" t="inlineStr">
        <is>
          <t>non</t>
        </is>
      </c>
      <c r="F51" s="23" t="inlineStr">
        <is>
          <t>CNS</t>
        </is>
      </c>
      <c r="G51" s="22" t="inlineStr">
        <is>
          <t>Aucun calcul ne mène de 8 à 40 en soustrayant 5 : choix sans règle de transformation disponible.</t>
        </is>
      </c>
    </row>
    <row r="52">
      <c r="A52" s="20" t="inlineStr">
        <is>
          <t>4eme</t>
        </is>
      </c>
      <c r="B52" s="21" t="inlineStr">
        <is>
          <t>L1</t>
        </is>
      </c>
      <c r="C52" s="21" t="inlineStr">
        <is>
          <t>c</t>
        </is>
      </c>
      <c r="D52" s="20" t="inlineStr">
        <is>
          <t>diviser par 5</t>
        </is>
      </c>
      <c r="E52" s="21" t="inlineStr">
        <is>
          <t>non</t>
        </is>
      </c>
      <c r="F52" s="21" t="inlineStr">
        <is>
          <t>CPT</t>
        </is>
      </c>
      <c r="G52" s="20" t="inlineStr">
        <is>
          <t>L'élève reproduit l'opération qui porte déjà sur x au lieu d'appliquer l'opération inverse.</t>
        </is>
      </c>
    </row>
    <row r="53">
      <c r="A53" s="22" t="inlineStr">
        <is>
          <t>4eme</t>
        </is>
      </c>
      <c r="B53" s="23" t="inlineStr">
        <is>
          <t>L1</t>
        </is>
      </c>
      <c r="C53" s="23" t="inlineStr">
        <is>
          <t>d</t>
        </is>
      </c>
      <c r="D53" s="22" t="inlineStr">
        <is>
          <t>multiplier par 5</t>
        </is>
      </c>
      <c r="E53" s="23" t="inlineStr">
        <is>
          <t>OUI</t>
        </is>
      </c>
      <c r="F53" s="23" t="n"/>
      <c r="G53" s="22" t="n"/>
    </row>
    <row r="54">
      <c r="A54" s="20" t="inlineStr">
        <is>
          <t>4eme</t>
        </is>
      </c>
      <c r="B54" s="21" t="inlineStr">
        <is>
          <t>G2</t>
        </is>
      </c>
      <c r="C54" s="21" t="inlineStr">
        <is>
          <t>a</t>
        </is>
      </c>
      <c r="D54" s="20" t="inlineStr">
        <is>
          <t>44°</t>
        </is>
      </c>
      <c r="E54" s="21" t="inlineStr">
        <is>
          <t>non</t>
        </is>
      </c>
      <c r="F54" s="21" t="inlineStr">
        <is>
          <t>CNS</t>
        </is>
      </c>
      <c r="G54" s="20" t="inlineStr">
        <is>
          <t>La mesure de l'angle M est reportée sur N : ni la somme des angles ni la propriété des angles à la base ne sont mobilisées.</t>
        </is>
      </c>
    </row>
    <row r="55">
      <c r="A55" s="22" t="inlineStr">
        <is>
          <t>4eme</t>
        </is>
      </c>
      <c r="B55" s="23" t="inlineStr">
        <is>
          <t>G2</t>
        </is>
      </c>
      <c r="C55" s="23" t="inlineStr">
        <is>
          <t>b</t>
        </is>
      </c>
      <c r="D55" s="22" t="inlineStr">
        <is>
          <t>136°</t>
        </is>
      </c>
      <c r="E55" s="23" t="inlineStr">
        <is>
          <t>non</t>
        </is>
      </c>
      <c r="F55" s="23" t="inlineStr">
        <is>
          <t>PRC</t>
        </is>
      </c>
      <c r="G55" s="22" t="inlineStr">
        <is>
          <t>180° - 44° = 136° est juste mais la division par 2 entre les deux angles à la base est omise.</t>
        </is>
      </c>
    </row>
    <row r="56">
      <c r="A56" s="20" t="inlineStr">
        <is>
          <t>4eme</t>
        </is>
      </c>
      <c r="B56" s="21" t="inlineStr">
        <is>
          <t>G2</t>
        </is>
      </c>
      <c r="C56" s="21" t="inlineStr">
        <is>
          <t>c</t>
        </is>
      </c>
      <c r="D56" s="20" t="inlineStr">
        <is>
          <t>92°</t>
        </is>
      </c>
      <c r="E56" s="21" t="inlineStr">
        <is>
          <t>non</t>
        </is>
      </c>
      <c r="F56" s="21" t="inlineStr">
        <is>
          <t>CPT</t>
        </is>
      </c>
      <c r="G56" s="20" t="inlineStr">
        <is>
          <t>180° - 2 × 44° = 92° : l'angle de 44° est placé à la base, le sommet principal M est confondu avec un angle à la base.</t>
        </is>
      </c>
    </row>
    <row r="57">
      <c r="A57" s="22" t="inlineStr">
        <is>
          <t>4eme</t>
        </is>
      </c>
      <c r="B57" s="23" t="inlineStr">
        <is>
          <t>G2</t>
        </is>
      </c>
      <c r="C57" s="23" t="inlineStr">
        <is>
          <t>d</t>
        </is>
      </c>
      <c r="D57" s="22" t="inlineStr">
        <is>
          <t>68°</t>
        </is>
      </c>
      <c r="E57" s="23" t="inlineStr">
        <is>
          <t>OUI</t>
        </is>
      </c>
      <c r="F57" s="23" t="n"/>
      <c r="G57" s="22" t="n"/>
    </row>
    <row r="58">
      <c r="A58" s="20" t="inlineStr">
        <is>
          <t>4eme</t>
        </is>
      </c>
      <c r="B58" s="21" t="inlineStr">
        <is>
          <t>G4</t>
        </is>
      </c>
      <c r="C58" s="21" t="inlineStr">
        <is>
          <t>a</t>
        </is>
      </c>
      <c r="D58" s="20" t="inlineStr">
        <is>
          <t>21π cm³</t>
        </is>
      </c>
      <c r="E58" s="21" t="inlineStr">
        <is>
          <t>OUI</t>
        </is>
      </c>
      <c r="F58" s="21" t="n"/>
      <c r="G58" s="20" t="n"/>
    </row>
    <row r="59">
      <c r="A59" s="22" t="inlineStr">
        <is>
          <t>4eme</t>
        </is>
      </c>
      <c r="B59" s="23" t="inlineStr">
        <is>
          <t>G4</t>
        </is>
      </c>
      <c r="C59" s="23" t="inlineStr">
        <is>
          <t>b</t>
        </is>
      </c>
      <c r="D59" s="22" t="inlineStr">
        <is>
          <t>63π cm³</t>
        </is>
      </c>
      <c r="E59" s="23" t="inlineStr">
        <is>
          <t>non</t>
        </is>
      </c>
      <c r="F59" s="23" t="inlineStr">
        <is>
          <t>CNS</t>
        </is>
      </c>
      <c r="G59" s="22" t="inlineStr">
        <is>
          <t>La formule du cylindre π × 3² × 7 = 63π est appliquée : le facteur 1/3 du cône n'est pas disponible.</t>
        </is>
      </c>
    </row>
    <row r="60">
      <c r="A60" s="20" t="inlineStr">
        <is>
          <t>4eme</t>
        </is>
      </c>
      <c r="B60" s="21" t="inlineStr">
        <is>
          <t>G4</t>
        </is>
      </c>
      <c r="C60" s="21" t="inlineStr">
        <is>
          <t>c</t>
        </is>
      </c>
      <c r="D60" s="20" t="inlineStr">
        <is>
          <t>49π cm³</t>
        </is>
      </c>
      <c r="E60" s="21" t="inlineStr">
        <is>
          <t>non</t>
        </is>
      </c>
      <c r="F60" s="21" t="inlineStr">
        <is>
          <t>CPT</t>
        </is>
      </c>
      <c r="G60" s="20" t="inlineStr">
        <is>
          <t>Rayon et hauteur sont échangés : 1/3 × π × 7² × 3 = 49π.</t>
        </is>
      </c>
    </row>
    <row r="61">
      <c r="A61" s="22" t="inlineStr">
        <is>
          <t>4eme</t>
        </is>
      </c>
      <c r="B61" s="23" t="inlineStr">
        <is>
          <t>G4</t>
        </is>
      </c>
      <c r="C61" s="23" t="inlineStr">
        <is>
          <t>d</t>
        </is>
      </c>
      <c r="D61" s="22" t="inlineStr">
        <is>
          <t>7π cm³</t>
        </is>
      </c>
      <c r="E61" s="23" t="inlineStr">
        <is>
          <t>non</t>
        </is>
      </c>
      <c r="F61" s="23" t="inlineStr">
        <is>
          <t>PRC</t>
        </is>
      </c>
      <c r="G61" s="22" t="inlineStr">
        <is>
          <t>Le rayon n'est pas élevé au carré : 1/3 × π × 3 × 7 = 7π.</t>
        </is>
      </c>
    </row>
    <row r="62">
      <c r="A62" s="20" t="inlineStr">
        <is>
          <t>4eme</t>
        </is>
      </c>
      <c r="B62" s="21" t="inlineStr">
        <is>
          <t>M1</t>
        </is>
      </c>
      <c r="C62" s="21" t="inlineStr">
        <is>
          <t>a</t>
        </is>
      </c>
      <c r="D62" s="20" t="inlineStr">
        <is>
          <t>54 km/h</t>
        </is>
      </c>
      <c r="E62" s="21" t="inlineStr">
        <is>
          <t>non</t>
        </is>
      </c>
      <c r="F62" s="21" t="inlineStr">
        <is>
          <t>CPT</t>
        </is>
      </c>
      <c r="G62" s="20" t="inlineStr">
        <is>
          <t>La distance est multipliée par la durée : 36 × 1,5 = 54.</t>
        </is>
      </c>
    </row>
    <row r="63">
      <c r="A63" s="22" t="inlineStr">
        <is>
          <t>4eme</t>
        </is>
      </c>
      <c r="B63" s="23" t="inlineStr">
        <is>
          <t>M1</t>
        </is>
      </c>
      <c r="C63" s="23" t="inlineStr">
        <is>
          <t>b</t>
        </is>
      </c>
      <c r="D63" s="22" t="inlineStr">
        <is>
          <t>36 km/h</t>
        </is>
      </c>
      <c r="E63" s="23" t="inlineStr">
        <is>
          <t>non</t>
        </is>
      </c>
      <c r="F63" s="23" t="inlineStr">
        <is>
          <t>CNS</t>
        </is>
      </c>
      <c r="G63" s="22" t="inlineStr">
        <is>
          <t>La distance parcourue est donnée comme vitesse : la relation v = d / t n'est pas mobilisée.</t>
        </is>
      </c>
    </row>
    <row r="64">
      <c r="A64" s="20" t="inlineStr">
        <is>
          <t>4eme</t>
        </is>
      </c>
      <c r="B64" s="21" t="inlineStr">
        <is>
          <t>M1</t>
        </is>
      </c>
      <c r="C64" s="21" t="inlineStr">
        <is>
          <t>c</t>
        </is>
      </c>
      <c r="D64" s="20" t="inlineStr">
        <is>
          <t>24 km/h</t>
        </is>
      </c>
      <c r="E64" s="21" t="inlineStr">
        <is>
          <t>OUI</t>
        </is>
      </c>
      <c r="F64" s="21" t="n"/>
      <c r="G64" s="20" t="n"/>
    </row>
    <row r="65">
      <c r="A65" s="22" t="inlineStr">
        <is>
          <t>4eme</t>
        </is>
      </c>
      <c r="B65" s="23" t="inlineStr">
        <is>
          <t>M1</t>
        </is>
      </c>
      <c r="C65" s="23" t="inlineStr">
        <is>
          <t>d</t>
        </is>
      </c>
      <c r="D65" s="22" t="inlineStr">
        <is>
          <t>18 km/h</t>
        </is>
      </c>
      <c r="E65" s="23" t="inlineStr">
        <is>
          <t>non</t>
        </is>
      </c>
      <c r="F65" s="23" t="inlineStr">
        <is>
          <t>PRC</t>
        </is>
      </c>
      <c r="G65" s="22" t="inlineStr">
        <is>
          <t>La durée de 1 h 30 min est arrondie à 2 h : 36 / 2 = 18.</t>
        </is>
      </c>
    </row>
    <row r="66">
      <c r="A66" s="20" t="inlineStr">
        <is>
          <t>4eme</t>
        </is>
      </c>
      <c r="B66" s="21" t="inlineStr">
        <is>
          <t>D1</t>
        </is>
      </c>
      <c r="C66" s="21" t="inlineStr">
        <is>
          <t>a</t>
        </is>
      </c>
      <c r="D66" s="20" t="inlineStr">
        <is>
          <t>2 400 FCFA</t>
        </is>
      </c>
      <c r="E66" s="21" t="inlineStr">
        <is>
          <t>non</t>
        </is>
      </c>
      <c r="F66" s="21" t="inlineStr">
        <is>
          <t>MOD</t>
        </is>
      </c>
      <c r="G66" s="20" t="inlineStr">
        <is>
          <t>Seule l'augmentation 15 % de 16 000 = 2 400 est calculée : elle n'est pas ajoutée au prix initial.</t>
        </is>
      </c>
    </row>
    <row r="67">
      <c r="A67" s="22" t="inlineStr">
        <is>
          <t>4eme</t>
        </is>
      </c>
      <c r="B67" s="23" t="inlineStr">
        <is>
          <t>D1</t>
        </is>
      </c>
      <c r="C67" s="23" t="inlineStr">
        <is>
          <t>b</t>
        </is>
      </c>
      <c r="D67" s="22" t="inlineStr">
        <is>
          <t>18 400 FCFA</t>
        </is>
      </c>
      <c r="E67" s="23" t="inlineStr">
        <is>
          <t>OUI</t>
        </is>
      </c>
      <c r="F67" s="23" t="n"/>
      <c r="G67" s="22" t="n"/>
    </row>
    <row r="68">
      <c r="A68" s="20" t="inlineStr">
        <is>
          <t>4eme</t>
        </is>
      </c>
      <c r="B68" s="21" t="inlineStr">
        <is>
          <t>D1</t>
        </is>
      </c>
      <c r="C68" s="21" t="inlineStr">
        <is>
          <t>c</t>
        </is>
      </c>
      <c r="D68" s="20" t="inlineStr">
        <is>
          <t>13 600 FCFA</t>
        </is>
      </c>
      <c r="E68" s="21" t="inlineStr">
        <is>
          <t>non</t>
        </is>
      </c>
      <c r="F68" s="21" t="inlineStr">
        <is>
          <t>PRC</t>
        </is>
      </c>
      <c r="G68" s="20" t="inlineStr">
        <is>
          <t>L'augmentation 2 400 est juste mais elle est retranchée : 16 000 - 2 400 = 13 600.</t>
        </is>
      </c>
    </row>
    <row r="69">
      <c r="A69" s="22" t="inlineStr">
        <is>
          <t>4eme</t>
        </is>
      </c>
      <c r="B69" s="23" t="inlineStr">
        <is>
          <t>D1</t>
        </is>
      </c>
      <c r="C69" s="23" t="inlineStr">
        <is>
          <t>d</t>
        </is>
      </c>
      <c r="D69" s="22" t="inlineStr">
        <is>
          <t>24 000 FCFA</t>
        </is>
      </c>
      <c r="E69" s="23" t="inlineStr">
        <is>
          <t>non</t>
        </is>
      </c>
      <c r="F69" s="23" t="inlineStr">
        <is>
          <t>CPT</t>
        </is>
      </c>
      <c r="G69" s="22" t="inlineStr">
        <is>
          <t>15 % est traduit par le coefficient 1,5 : 16 000 × 1,5 = 24 000.</t>
        </is>
      </c>
    </row>
    <row r="70">
      <c r="A70" s="20" t="inlineStr">
        <is>
          <t>3eme</t>
        </is>
      </c>
      <c r="B70" s="21" t="inlineStr">
        <is>
          <t>N3</t>
        </is>
      </c>
      <c r="C70" s="21" t="inlineStr">
        <is>
          <t>a</t>
        </is>
      </c>
      <c r="D70" s="20" t="inlineStr">
        <is>
          <t>7,8</t>
        </is>
      </c>
      <c r="E70" s="21" t="inlineStr">
        <is>
          <t>non</t>
        </is>
      </c>
      <c r="F70" s="21" t="inlineStr">
        <is>
          <t>CPT</t>
        </is>
      </c>
      <c r="G70" s="20" t="inlineStr">
        <is>
          <t>7,8 est l'approximation par défaut à 10⁻¹ près de 7,833... : défaut et excès sont confondus.</t>
        </is>
      </c>
    </row>
    <row r="71">
      <c r="A71" s="22" t="inlineStr">
        <is>
          <t>3eme</t>
        </is>
      </c>
      <c r="B71" s="23" t="inlineStr">
        <is>
          <t>N3</t>
        </is>
      </c>
      <c r="C71" s="23" t="inlineStr">
        <is>
          <t>b</t>
        </is>
      </c>
      <c r="D71" s="22" t="inlineStr">
        <is>
          <t>7,9</t>
        </is>
      </c>
      <c r="E71" s="23" t="inlineStr">
        <is>
          <t>OUI</t>
        </is>
      </c>
      <c r="F71" s="23" t="n"/>
      <c r="G71" s="22" t="n"/>
    </row>
    <row r="72">
      <c r="A72" s="20" t="inlineStr">
        <is>
          <t>3eme</t>
        </is>
      </c>
      <c r="B72" s="21" t="inlineStr">
        <is>
          <t>N3</t>
        </is>
      </c>
      <c r="C72" s="21" t="inlineStr">
        <is>
          <t>c</t>
        </is>
      </c>
      <c r="D72" s="20" t="inlineStr">
        <is>
          <t>7,83</t>
        </is>
      </c>
      <c r="E72" s="21" t="inlineStr">
        <is>
          <t>non</t>
        </is>
      </c>
      <c r="F72" s="21" t="inlineStr">
        <is>
          <t>CNS</t>
        </is>
      </c>
      <c r="G72" s="20" t="inlineStr">
        <is>
          <t>7,83 est la troncature au centième : le sens de « à 10⁻¹ près » n'est pas mobilisé.</t>
        </is>
      </c>
    </row>
    <row r="73">
      <c r="A73" s="22" t="inlineStr">
        <is>
          <t>3eme</t>
        </is>
      </c>
      <c r="B73" s="23" t="inlineStr">
        <is>
          <t>N3</t>
        </is>
      </c>
      <c r="C73" s="23" t="inlineStr">
        <is>
          <t>d</t>
        </is>
      </c>
      <c r="D73" s="22" t="inlineStr">
        <is>
          <t>7,7</t>
        </is>
      </c>
      <c r="E73" s="23" t="inlineStr">
        <is>
          <t>non</t>
        </is>
      </c>
      <c r="F73" s="23" t="inlineStr">
        <is>
          <t>CPT</t>
        </is>
      </c>
      <c r="G73" s="22" t="inlineStr">
        <is>
          <t>Aucune erreur directe ne donne 7,7 ; lecture la moins fausse : l'élève retire 0,1 à la troncature 7,8 en prenant « par excès » pour « en s'écartant ».</t>
        </is>
      </c>
    </row>
    <row r="74">
      <c r="A74" s="20" t="inlineStr">
        <is>
          <t>3eme</t>
        </is>
      </c>
      <c r="B74" s="21" t="inlineStr">
        <is>
          <t>N4</t>
        </is>
      </c>
      <c r="C74" s="21" t="inlineStr">
        <is>
          <t>a</t>
        </is>
      </c>
      <c r="D74" s="20" t="inlineStr">
        <is>
          <t>-147/32</t>
        </is>
      </c>
      <c r="E74" s="21" t="inlineStr">
        <is>
          <t>non</t>
        </is>
      </c>
      <c r="F74" s="21" t="inlineStr">
        <is>
          <t>CPT</t>
        </is>
      </c>
      <c r="G74" s="20" t="inlineStr">
        <is>
          <t>(-7 × 21)/(4 × 8) = -147/32 : la division est traitée comme une multiplication, sans prendre l'inverse.</t>
        </is>
      </c>
    </row>
    <row r="75">
      <c r="A75" s="22" t="inlineStr">
        <is>
          <t>3eme</t>
        </is>
      </c>
      <c r="B75" s="23" t="inlineStr">
        <is>
          <t>N4</t>
        </is>
      </c>
      <c r="C75" s="23" t="inlineStr">
        <is>
          <t>b</t>
        </is>
      </c>
      <c r="D75" s="22" t="inlineStr">
        <is>
          <t>-3/2</t>
        </is>
      </c>
      <c r="E75" s="23" t="inlineStr">
        <is>
          <t>non</t>
        </is>
      </c>
      <c r="F75" s="23" t="inlineStr">
        <is>
          <t>CPT</t>
        </is>
      </c>
      <c r="G75" s="22" t="inlineStr">
        <is>
          <t>L'inverse est pris sur le dividende au lieu du diviseur : (-4/7) × (21/8) = -84/56 = -3/2, règle fausse appliquée de façon cohérente.</t>
        </is>
      </c>
    </row>
    <row r="76">
      <c r="A76" s="20" t="inlineStr">
        <is>
          <t>3eme</t>
        </is>
      </c>
      <c r="B76" s="21" t="inlineStr">
        <is>
          <t>N4</t>
        </is>
      </c>
      <c r="C76" s="21" t="inlineStr">
        <is>
          <t>c</t>
        </is>
      </c>
      <c r="D76" s="20" t="inlineStr">
        <is>
          <t>-2/3</t>
        </is>
      </c>
      <c r="E76" s="21" t="inlineStr">
        <is>
          <t>OUI</t>
        </is>
      </c>
      <c r="F76" s="21" t="n"/>
      <c r="G76" s="20" t="n"/>
    </row>
    <row r="77">
      <c r="A77" s="22" t="inlineStr">
        <is>
          <t>3eme</t>
        </is>
      </c>
      <c r="B77" s="23" t="inlineStr">
        <is>
          <t>N4</t>
        </is>
      </c>
      <c r="C77" s="23" t="inlineStr">
        <is>
          <t>d</t>
        </is>
      </c>
      <c r="D77" s="22" t="inlineStr">
        <is>
          <t>2/3</t>
        </is>
      </c>
      <c r="E77" s="23" t="inlineStr">
        <is>
          <t>non</t>
        </is>
      </c>
      <c r="F77" s="23" t="inlineStr">
        <is>
          <t>PRC</t>
        </is>
      </c>
      <c r="G77" s="22" t="inlineStr">
        <is>
          <t>(7/4) × (8/21) = 56/84 = 2/3 est bien calculé mais la règle des signes est oubliée.</t>
        </is>
      </c>
    </row>
    <row r="78">
      <c r="A78" s="20" t="inlineStr">
        <is>
          <t>3eme</t>
        </is>
      </c>
      <c r="B78" s="21" t="inlineStr">
        <is>
          <t>G2</t>
        </is>
      </c>
      <c r="C78" s="21" t="inlineStr">
        <is>
          <t>a</t>
        </is>
      </c>
      <c r="D78" s="20" t="inlineStr">
        <is>
          <t>vecteur NP</t>
        </is>
      </c>
      <c r="E78" s="21" t="inlineStr">
        <is>
          <t>non</t>
        </is>
      </c>
      <c r="F78" s="21" t="inlineStr">
        <is>
          <t>CPT</t>
        </is>
      </c>
      <c r="G78" s="20" t="inlineStr">
        <is>
          <t>L'élève relie les deux lettres centrales de l'écriture MN + PM sans réordonner la somme.</t>
        </is>
      </c>
    </row>
    <row r="79">
      <c r="A79" s="22" t="inlineStr">
        <is>
          <t>3eme</t>
        </is>
      </c>
      <c r="B79" s="23" t="inlineStr">
        <is>
          <t>G2</t>
        </is>
      </c>
      <c r="C79" s="23" t="inlineStr">
        <is>
          <t>b</t>
        </is>
      </c>
      <c r="D79" s="22" t="inlineStr">
        <is>
          <t>vecteur MP</t>
        </is>
      </c>
      <c r="E79" s="23" t="inlineStr">
        <is>
          <t>non</t>
        </is>
      </c>
      <c r="F79" s="23" t="inlineStr">
        <is>
          <t>CNS</t>
        </is>
      </c>
      <c r="G79" s="22" t="inlineStr">
        <is>
          <t>L'élève relie les origines des deux vecteurs : la relation de Chasles n'est pas mobilisée.</t>
        </is>
      </c>
    </row>
    <row r="80">
      <c r="A80" s="20" t="inlineStr">
        <is>
          <t>3eme</t>
        </is>
      </c>
      <c r="B80" s="21" t="inlineStr">
        <is>
          <t>G2</t>
        </is>
      </c>
      <c r="C80" s="21" t="inlineStr">
        <is>
          <t>c</t>
        </is>
      </c>
      <c r="D80" s="20" t="inlineStr">
        <is>
          <t>vecteur NM</t>
        </is>
      </c>
      <c r="E80" s="21" t="inlineStr">
        <is>
          <t>non</t>
        </is>
      </c>
      <c r="F80" s="21" t="inlineStr">
        <is>
          <t>CNS</t>
        </is>
      </c>
      <c r="G80" s="20" t="inlineStr">
        <is>
          <t>L'élève relie les extrémités des deux vecteurs : la relation de Chasles n'est pas mobilisée.</t>
        </is>
      </c>
    </row>
    <row r="81">
      <c r="A81" s="22" t="inlineStr">
        <is>
          <t>3eme</t>
        </is>
      </c>
      <c r="B81" s="23" t="inlineStr">
        <is>
          <t>G2</t>
        </is>
      </c>
      <c r="C81" s="23" t="inlineStr">
        <is>
          <t>d</t>
        </is>
      </c>
      <c r="D81" s="22" t="inlineStr">
        <is>
          <t>vecteur PN</t>
        </is>
      </c>
      <c r="E81" s="23" t="inlineStr">
        <is>
          <t>OUI</t>
        </is>
      </c>
      <c r="F81" s="23" t="n"/>
      <c r="G81" s="22" t="n"/>
    </row>
    <row r="82">
      <c r="A82" s="20" t="inlineStr">
        <is>
          <t>3eme</t>
        </is>
      </c>
      <c r="B82" s="21" t="inlineStr">
        <is>
          <t>G6</t>
        </is>
      </c>
      <c r="C82" s="21" t="inlineStr">
        <is>
          <t>a</t>
        </is>
      </c>
      <c r="D82" s="20" t="inlineStr">
        <is>
          <t>360 cm³</t>
        </is>
      </c>
      <c r="E82" s="21" t="inlineStr">
        <is>
          <t>non</t>
        </is>
      </c>
      <c r="F82" s="21" t="inlineStr">
        <is>
          <t>CNS</t>
        </is>
      </c>
      <c r="G82" s="20" t="inlineStr">
        <is>
          <t>36 × 10 = 360 : la formule du prisme est utilisée, le facteur 1/3 du volume de la pyramide n'est pas disponible.</t>
        </is>
      </c>
    </row>
    <row r="83">
      <c r="A83" s="22" t="inlineStr">
        <is>
          <t>3eme</t>
        </is>
      </c>
      <c r="B83" s="23" t="inlineStr">
        <is>
          <t>G6</t>
        </is>
      </c>
      <c r="C83" s="23" t="inlineStr">
        <is>
          <t>b</t>
        </is>
      </c>
      <c r="D83" s="22" t="inlineStr">
        <is>
          <t>80 cm³</t>
        </is>
      </c>
      <c r="E83" s="23" t="inlineStr">
        <is>
          <t>non</t>
        </is>
      </c>
      <c r="F83" s="23" t="inlineStr">
        <is>
          <t>CPT</t>
        </is>
      </c>
      <c r="G83" s="22" t="inlineStr">
        <is>
          <t>(1/3) × 24 × 10 = 80 : l'aire de la base est remplacée par son périmètre 4 × 6 = 24.</t>
        </is>
      </c>
    </row>
    <row r="84">
      <c r="A84" s="20" t="inlineStr">
        <is>
          <t>3eme</t>
        </is>
      </c>
      <c r="B84" s="21" t="inlineStr">
        <is>
          <t>G6</t>
        </is>
      </c>
      <c r="C84" s="21" t="inlineStr">
        <is>
          <t>c</t>
        </is>
      </c>
      <c r="D84" s="20" t="inlineStr">
        <is>
          <t>120 cm³</t>
        </is>
      </c>
      <c r="E84" s="21" t="inlineStr">
        <is>
          <t>OUI</t>
        </is>
      </c>
      <c r="F84" s="21" t="n"/>
      <c r="G84" s="20" t="n"/>
    </row>
    <row r="85">
      <c r="A85" s="22" t="inlineStr">
        <is>
          <t>3eme</t>
        </is>
      </c>
      <c r="B85" s="23" t="inlineStr">
        <is>
          <t>G6</t>
        </is>
      </c>
      <c r="C85" s="23" t="inlineStr">
        <is>
          <t>d</t>
        </is>
      </c>
      <c r="D85" s="22" t="inlineStr">
        <is>
          <t>60 cm³</t>
        </is>
      </c>
      <c r="E85" s="23" t="inlineStr">
        <is>
          <t>non</t>
        </is>
      </c>
      <c r="F85" s="23" t="inlineStr">
        <is>
          <t>CPT</t>
        </is>
      </c>
      <c r="G85" s="22" t="inlineStr">
        <is>
          <t>6 × 10 = 60 : le côté est pris pour l'aire de la base et le tiers est oublié (deux erreurs cumulées).</t>
        </is>
      </c>
    </row>
    <row r="86">
      <c r="A86" s="20" t="inlineStr">
        <is>
          <t>3eme</t>
        </is>
      </c>
      <c r="B86" s="21" t="inlineStr">
        <is>
          <t>D2</t>
        </is>
      </c>
      <c r="C86" s="21" t="inlineStr">
        <is>
          <t>a</t>
        </is>
      </c>
      <c r="D86" s="20" t="inlineStr">
        <is>
          <t>140 m</t>
        </is>
      </c>
      <c r="E86" s="21" t="inlineStr">
        <is>
          <t>OUI</t>
        </is>
      </c>
      <c r="F86" s="21" t="n"/>
      <c r="G86" s="20" t="n"/>
    </row>
    <row r="87">
      <c r="A87" s="22" t="inlineStr">
        <is>
          <t>3eme</t>
        </is>
      </c>
      <c r="B87" s="23" t="inlineStr">
        <is>
          <t>D2</t>
        </is>
      </c>
      <c r="C87" s="23" t="inlineStr">
        <is>
          <t>b</t>
        </is>
      </c>
      <c r="D87" s="22" t="inlineStr">
        <is>
          <t>14 m</t>
        </is>
      </c>
      <c r="E87" s="23" t="inlineStr">
        <is>
          <t>non</t>
        </is>
      </c>
      <c r="F87" s="23" t="inlineStr">
        <is>
          <t>PRC</t>
        </is>
      </c>
      <c r="G87" s="22" t="inlineStr">
        <is>
          <t>7 × 2 000 = 14 000 cm est juste, puis 14 000 est divisé par 1 000 au lieu de 100.</t>
        </is>
      </c>
    </row>
    <row r="88">
      <c r="A88" s="20" t="inlineStr">
        <is>
          <t>3eme</t>
        </is>
      </c>
      <c r="B88" s="21" t="inlineStr">
        <is>
          <t>D2</t>
        </is>
      </c>
      <c r="C88" s="21" t="inlineStr">
        <is>
          <t>c</t>
        </is>
      </c>
      <c r="D88" s="20" t="inlineStr">
        <is>
          <t>1 400 m</t>
        </is>
      </c>
      <c r="E88" s="21" t="inlineStr">
        <is>
          <t>non</t>
        </is>
      </c>
      <c r="F88" s="21" t="inlineStr">
        <is>
          <t>CNS</t>
        </is>
      </c>
      <c r="G88" s="20" t="inlineStr">
        <is>
          <t>14 000 cm sont divisés par 10 : la relation 1 m = 100 cm n'est pas disponible.</t>
        </is>
      </c>
    </row>
    <row r="89">
      <c r="A89" s="22" t="inlineStr">
        <is>
          <t>3eme</t>
        </is>
      </c>
      <c r="B89" s="23" t="inlineStr">
        <is>
          <t>D2</t>
        </is>
      </c>
      <c r="C89" s="23" t="inlineStr">
        <is>
          <t>d</t>
        </is>
      </c>
      <c r="D89" s="22" t="inlineStr">
        <is>
          <t>1,4 m</t>
        </is>
      </c>
      <c r="E89" s="23" t="inlineStr">
        <is>
          <t>non</t>
        </is>
      </c>
      <c r="F89" s="23" t="inlineStr">
        <is>
          <t>CPT</t>
        </is>
      </c>
      <c r="G89" s="22" t="inlineStr">
        <is>
          <t>14 000 cm sont divisés par 10 000 : le facteur de conversion des aires est appliqué à une longueur.</t>
        </is>
      </c>
    </row>
    <row r="90">
      <c r="A90" s="20" t="inlineStr">
        <is>
          <t>2ndeC</t>
        </is>
      </c>
      <c r="B90" s="21" t="inlineStr">
        <is>
          <t>N3</t>
        </is>
      </c>
      <c r="C90" s="21" t="inlineStr">
        <is>
          <t>a</t>
        </is>
      </c>
      <c r="D90" s="20" t="inlineStr">
        <is>
          <t>3 × 10²</t>
        </is>
      </c>
      <c r="E90" s="21" t="inlineStr">
        <is>
          <t>non</t>
        </is>
      </c>
      <c r="F90" s="21" t="inlineStr">
        <is>
          <t>CPT</t>
        </is>
      </c>
      <c r="G90" s="20" t="inlineStr">
        <is>
          <t>Les exposants sont additionnés (-3 + 5 = 2) : la règle du produit est appliquée au quotient.</t>
        </is>
      </c>
    </row>
    <row r="91">
      <c r="A91" s="22" t="inlineStr">
        <is>
          <t>2ndeC</t>
        </is>
      </c>
      <c r="B91" s="23" t="inlineStr">
        <is>
          <t>N3</t>
        </is>
      </c>
      <c r="C91" s="23" t="inlineStr">
        <is>
          <t>b</t>
        </is>
      </c>
      <c r="D91" s="22" t="inlineStr">
        <is>
          <t>3 × 10⁻²</t>
        </is>
      </c>
      <c r="E91" s="23" t="inlineStr">
        <is>
          <t>non</t>
        </is>
      </c>
      <c r="F91" s="23" t="inlineStr">
        <is>
          <t>PRC</t>
        </is>
      </c>
      <c r="G91" s="22" t="inlineStr">
        <is>
          <t>La règle de soustraction est choisie, mais le signe de -3 est perdu : 3 - 5 = -2 au lieu de -3 - 5 = -8.</t>
        </is>
      </c>
    </row>
    <row r="92">
      <c r="A92" s="20" t="inlineStr">
        <is>
          <t>2ndeC</t>
        </is>
      </c>
      <c r="B92" s="21" t="inlineStr">
        <is>
          <t>N3</t>
        </is>
      </c>
      <c r="C92" s="21" t="inlineStr">
        <is>
          <t>c</t>
        </is>
      </c>
      <c r="D92" s="20" t="inlineStr">
        <is>
          <t>3 × 10⁻⁸</t>
        </is>
      </c>
      <c r="E92" s="21" t="inlineStr">
        <is>
          <t>OUI</t>
        </is>
      </c>
      <c r="F92" s="21" t="n"/>
      <c r="G92" s="20" t="n"/>
    </row>
    <row r="93">
      <c r="A93" s="22" t="inlineStr">
        <is>
          <t>2ndeC</t>
        </is>
      </c>
      <c r="B93" s="23" t="inlineStr">
        <is>
          <t>N3</t>
        </is>
      </c>
      <c r="C93" s="23" t="inlineStr">
        <is>
          <t>d</t>
        </is>
      </c>
      <c r="D93" s="22" t="inlineStr">
        <is>
          <t>3 × 10⁻¹⁵</t>
        </is>
      </c>
      <c r="E93" s="23" t="inlineStr">
        <is>
          <t>non</t>
        </is>
      </c>
      <c r="F93" s="23" t="inlineStr">
        <is>
          <t>CNS</t>
        </is>
      </c>
      <c r="G93" s="22" t="inlineStr">
        <is>
          <t>Les exposants sont multipliés (-3 × 5 = -15) : la règle du quotient de puissances n'est pas disponible.</t>
        </is>
      </c>
    </row>
    <row r="94">
      <c r="A94" s="20" t="inlineStr">
        <is>
          <t>2ndeC</t>
        </is>
      </c>
      <c r="B94" s="21" t="inlineStr">
        <is>
          <t>N5</t>
        </is>
      </c>
      <c r="C94" s="21" t="inlineStr">
        <is>
          <t>a</t>
        </is>
      </c>
      <c r="D94" s="20" t="inlineStr">
        <is>
          <t>11</t>
        </is>
      </c>
      <c r="E94" s="21" t="inlineStr">
        <is>
          <t>non</t>
        </is>
      </c>
      <c r="F94" s="21" t="inlineStr">
        <is>
          <t>PRC</t>
        </is>
      </c>
      <c r="G94" s="20" t="inlineStr">
        <is>
          <t>L'identité est reconnue mais 9 - (√2)² est calculé 9 + 2 : erreur de signe.</t>
        </is>
      </c>
    </row>
    <row r="95">
      <c r="A95" s="22" t="inlineStr">
        <is>
          <t>2ndeC</t>
        </is>
      </c>
      <c r="B95" s="23" t="inlineStr">
        <is>
          <t>N5</t>
        </is>
      </c>
      <c r="C95" s="23" t="inlineStr">
        <is>
          <t>b</t>
        </is>
      </c>
      <c r="D95" s="22" t="inlineStr">
        <is>
          <t>7</t>
        </is>
      </c>
      <c r="E95" s="23" t="inlineStr">
        <is>
          <t>OUI</t>
        </is>
      </c>
      <c r="F95" s="23" t="n"/>
      <c r="G95" s="22" t="n"/>
    </row>
    <row r="96">
      <c r="A96" s="20" t="inlineStr">
        <is>
          <t>2ndeC</t>
        </is>
      </c>
      <c r="B96" s="21" t="inlineStr">
        <is>
          <t>N5</t>
        </is>
      </c>
      <c r="C96" s="21" t="inlineStr">
        <is>
          <t>c</t>
        </is>
      </c>
      <c r="D96" s="20" t="inlineStr">
        <is>
          <t>9 - √2</t>
        </is>
      </c>
      <c r="E96" s="21" t="inlineStr">
        <is>
          <t>non</t>
        </is>
      </c>
      <c r="F96" s="21" t="inlineStr">
        <is>
          <t>CNS</t>
        </is>
      </c>
      <c r="G96" s="20" t="inlineStr">
        <is>
          <t>(√2)² n'est pas calculé : la propriété (√a)² = a n'est pas mobilisée.</t>
        </is>
      </c>
    </row>
    <row r="97">
      <c r="A97" s="22" t="inlineStr">
        <is>
          <t>2ndeC</t>
        </is>
      </c>
      <c r="B97" s="23" t="inlineStr">
        <is>
          <t>N5</t>
        </is>
      </c>
      <c r="C97" s="23" t="inlineStr">
        <is>
          <t>d</t>
        </is>
      </c>
      <c r="D97" s="22" t="inlineStr">
        <is>
          <t>11 - 6√2</t>
        </is>
      </c>
      <c r="E97" s="23" t="inlineStr">
        <is>
          <t>non</t>
        </is>
      </c>
      <c r="F97" s="23" t="inlineStr">
        <is>
          <t>CPT</t>
        </is>
      </c>
      <c r="G97" s="22" t="inlineStr">
        <is>
          <t>Le produit est développé comme (3 - √2)² = 9 - 6√2 + 2 : confusion avec le carré d'une différence.</t>
        </is>
      </c>
    </row>
    <row r="98">
      <c r="A98" s="20" t="inlineStr">
        <is>
          <t>2ndeC</t>
        </is>
      </c>
      <c r="B98" s="21" t="inlineStr">
        <is>
          <t>L1</t>
        </is>
      </c>
      <c r="C98" s="21" t="inlineStr">
        <is>
          <t>a</t>
        </is>
      </c>
      <c r="D98" s="20" t="inlineStr">
        <is>
          <t>4x² - 10x + 25</t>
        </is>
      </c>
      <c r="E98" s="21" t="inlineStr">
        <is>
          <t>non</t>
        </is>
      </c>
      <c r="F98" s="21" t="inlineStr">
        <is>
          <t>PRC</t>
        </is>
      </c>
      <c r="G98" s="20" t="inlineStr">
        <is>
          <t>Le double produit est calculé 5 × 2x = 10x sans le facteur 2 : étape omise dans une formule connue.</t>
        </is>
      </c>
    </row>
    <row r="99">
      <c r="A99" s="22" t="inlineStr">
        <is>
          <t>2ndeC</t>
        </is>
      </c>
      <c r="B99" s="23" t="inlineStr">
        <is>
          <t>L1</t>
        </is>
      </c>
      <c r="C99" s="23" t="inlineStr">
        <is>
          <t>b</t>
        </is>
      </c>
      <c r="D99" s="22" t="inlineStr">
        <is>
          <t>25 - 4x²</t>
        </is>
      </c>
      <c r="E99" s="23" t="inlineStr">
        <is>
          <t>non</t>
        </is>
      </c>
      <c r="F99" s="23" t="inlineStr">
        <is>
          <t>CPT</t>
        </is>
      </c>
      <c r="G99" s="22" t="inlineStr">
        <is>
          <t>(a - b)² est confondu avec (a - b)(a + b) = a² - b².</t>
        </is>
      </c>
    </row>
    <row r="100">
      <c r="A100" s="20" t="inlineStr">
        <is>
          <t>2ndeC</t>
        </is>
      </c>
      <c r="B100" s="21" t="inlineStr">
        <is>
          <t>L1</t>
        </is>
      </c>
      <c r="C100" s="21" t="inlineStr">
        <is>
          <t>c</t>
        </is>
      </c>
      <c r="D100" s="20" t="inlineStr">
        <is>
          <t>4x² + 25</t>
        </is>
      </c>
      <c r="E100" s="21" t="inlineStr">
        <is>
          <t>non</t>
        </is>
      </c>
      <c r="F100" s="21" t="inlineStr">
        <is>
          <t>CPT</t>
        </is>
      </c>
      <c r="G100" s="20" t="inlineStr">
        <is>
          <t>Le carré est distribué sur la différence : le double produit est ignoré.</t>
        </is>
      </c>
    </row>
    <row r="101">
      <c r="A101" s="22" t="inlineStr">
        <is>
          <t>2ndeC</t>
        </is>
      </c>
      <c r="B101" s="23" t="inlineStr">
        <is>
          <t>L1</t>
        </is>
      </c>
      <c r="C101" s="23" t="inlineStr">
        <is>
          <t>d</t>
        </is>
      </c>
      <c r="D101" s="22" t="inlineStr">
        <is>
          <t>4x² - 20x + 25</t>
        </is>
      </c>
      <c r="E101" s="23" t="inlineStr">
        <is>
          <t>OUI</t>
        </is>
      </c>
      <c r="F101" s="23" t="n"/>
      <c r="G101" s="22" t="n"/>
    </row>
    <row r="102">
      <c r="A102" s="20" t="inlineStr">
        <is>
          <t>2ndeC</t>
        </is>
      </c>
      <c r="B102" s="21" t="inlineStr">
        <is>
          <t>L4</t>
        </is>
      </c>
      <c r="C102" s="21" t="inlineStr">
        <is>
          <t>a</t>
        </is>
      </c>
      <c r="D102" s="20" t="inlineStr">
        <is>
          <t>]-∞ ; -3]</t>
        </is>
      </c>
      <c r="E102" s="21" t="inlineStr">
        <is>
          <t>OUI</t>
        </is>
      </c>
      <c r="F102" s="21" t="n"/>
      <c r="G102" s="20" t="n"/>
    </row>
    <row r="103">
      <c r="A103" s="22" t="inlineStr">
        <is>
          <t>2ndeC</t>
        </is>
      </c>
      <c r="B103" s="23" t="inlineStr">
        <is>
          <t>L4</t>
        </is>
      </c>
      <c r="C103" s="23" t="inlineStr">
        <is>
          <t>b</t>
        </is>
      </c>
      <c r="D103" s="22" t="inlineStr">
        <is>
          <t>[-3 ; +∞[</t>
        </is>
      </c>
      <c r="E103" s="23" t="inlineStr">
        <is>
          <t>non</t>
        </is>
      </c>
      <c r="F103" s="23" t="inlineStr">
        <is>
          <t>CPT</t>
        </is>
      </c>
      <c r="G103" s="22" t="inlineStr">
        <is>
          <t>De -5x ≥ 15, l'élève garde le sens ≥ en divisant par -5 : x ≥ -3.</t>
        </is>
      </c>
    </row>
    <row r="104">
      <c r="A104" s="20" t="inlineStr">
        <is>
          <t>2ndeC</t>
        </is>
      </c>
      <c r="B104" s="21" t="inlineStr">
        <is>
          <t>L4</t>
        </is>
      </c>
      <c r="C104" s="21" t="inlineStr">
        <is>
          <t>c</t>
        </is>
      </c>
      <c r="D104" s="20" t="inlineStr">
        <is>
          <t>]-∞ ; 3]</t>
        </is>
      </c>
      <c r="E104" s="21" t="inlineStr">
        <is>
          <t>non</t>
        </is>
      </c>
      <c r="F104" s="21" t="inlineStr">
        <is>
          <t>PRC</t>
        </is>
      </c>
      <c r="G104" s="20" t="inlineStr">
        <is>
          <t>Le sens est bien inversé mais 15 : (-5) est calculé 3 : erreur de signe du quotient.</t>
        </is>
      </c>
    </row>
    <row r="105">
      <c r="A105" s="22" t="inlineStr">
        <is>
          <t>2ndeC</t>
        </is>
      </c>
      <c r="B105" s="23" t="inlineStr">
        <is>
          <t>L4</t>
        </is>
      </c>
      <c r="C105" s="23" t="inlineStr">
        <is>
          <t>d</t>
        </is>
      </c>
      <c r="D105" s="22" t="inlineStr">
        <is>
          <t>[3 ; +∞[</t>
        </is>
      </c>
      <c r="E105" s="23" t="inlineStr">
        <is>
          <t>non</t>
        </is>
      </c>
      <c r="F105" s="23" t="inlineStr">
        <is>
          <t>CPT</t>
        </is>
      </c>
      <c r="G105" s="22" t="inlineStr">
        <is>
          <t>Sens non inversé et signe du quotient faux : x ≥ 3, la règle d'inversion n'est pas acquise.</t>
        </is>
      </c>
    </row>
    <row r="106">
      <c r="A106" s="20" t="inlineStr">
        <is>
          <t>2ndeC</t>
        </is>
      </c>
      <c r="B106" s="21" t="inlineStr">
        <is>
          <t>G3</t>
        </is>
      </c>
      <c r="C106" s="21" t="inlineStr">
        <is>
          <t>a</t>
        </is>
      </c>
      <c r="D106" s="20" t="inlineStr">
        <is>
          <t>√7</t>
        </is>
      </c>
      <c r="E106" s="21" t="inlineStr">
        <is>
          <t>non</t>
        </is>
      </c>
      <c r="F106" s="21" t="inlineStr">
        <is>
          <t>CPT</t>
        </is>
      </c>
      <c r="G106" s="20" t="inlineStr">
        <is>
          <t>Les écarts 4 et 3 sont additionnés sans être élevés au carré : √(4 + 3) = √7.</t>
        </is>
      </c>
    </row>
    <row r="107">
      <c r="A107" s="22" t="inlineStr">
        <is>
          <t>2ndeC</t>
        </is>
      </c>
      <c r="B107" s="23" t="inlineStr">
        <is>
          <t>G3</t>
        </is>
      </c>
      <c r="C107" s="23" t="inlineStr">
        <is>
          <t>b</t>
        </is>
      </c>
      <c r="D107" s="22" t="inlineStr">
        <is>
          <t>5</t>
        </is>
      </c>
      <c r="E107" s="23" t="inlineStr">
        <is>
          <t>OUI</t>
        </is>
      </c>
      <c r="F107" s="23" t="n"/>
      <c r="G107" s="22" t="n"/>
    </row>
    <row r="108">
      <c r="A108" s="20" t="inlineStr">
        <is>
          <t>2ndeC</t>
        </is>
      </c>
      <c r="B108" s="21" t="inlineStr">
        <is>
          <t>G3</t>
        </is>
      </c>
      <c r="C108" s="21" t="inlineStr">
        <is>
          <t>c</t>
        </is>
      </c>
      <c r="D108" s="20" t="inlineStr">
        <is>
          <t>√13</t>
        </is>
      </c>
      <c r="E108" s="21" t="inlineStr">
        <is>
          <t>non</t>
        </is>
      </c>
      <c r="F108" s="21" t="inlineStr">
        <is>
          <t>PRC</t>
        </is>
      </c>
      <c r="G108" s="20" t="inlineStr">
        <is>
          <t>xB - xA = 3 - (-1) est calculé 2 : √(2² + 3²) = √13, erreur de signe.</t>
        </is>
      </c>
    </row>
    <row r="109">
      <c r="A109" s="22" t="inlineStr">
        <is>
          <t>2ndeC</t>
        </is>
      </c>
      <c r="B109" s="23" t="inlineStr">
        <is>
          <t>G3</t>
        </is>
      </c>
      <c r="C109" s="23" t="inlineStr">
        <is>
          <t>d</t>
        </is>
      </c>
      <c r="D109" s="22" t="inlineStr">
        <is>
          <t>25</t>
        </is>
      </c>
      <c r="E109" s="23" t="inlineStr">
        <is>
          <t>non</t>
        </is>
      </c>
      <c r="F109" s="23" t="inlineStr">
        <is>
          <t>PRC</t>
        </is>
      </c>
      <c r="G109" s="22" t="inlineStr">
        <is>
          <t>4² + 3² = 25 est juste mais la racine carrée finale est oubliée.</t>
        </is>
      </c>
    </row>
    <row r="110">
      <c r="A110" s="20" t="inlineStr">
        <is>
          <t>2ndeC</t>
        </is>
      </c>
      <c r="B110" s="21" t="inlineStr">
        <is>
          <t>G4</t>
        </is>
      </c>
      <c r="C110" s="21" t="inlineStr">
        <is>
          <t>a</t>
        </is>
      </c>
      <c r="D110" s="20" t="inlineStr">
        <is>
          <t>15 cm</t>
        </is>
      </c>
      <c r="E110" s="21" t="inlineStr">
        <is>
          <t>OUI</t>
        </is>
      </c>
      <c r="F110" s="21" t="n"/>
      <c r="G110" s="20" t="n"/>
    </row>
    <row r="111">
      <c r="A111" s="22" t="inlineStr">
        <is>
          <t>2ndeC</t>
        </is>
      </c>
      <c r="B111" s="23" t="inlineStr">
        <is>
          <t>G4</t>
        </is>
      </c>
      <c r="C111" s="23" t="inlineStr">
        <is>
          <t>b</t>
        </is>
      </c>
      <c r="D111" s="22" t="inlineStr">
        <is>
          <t>2,4 cm</t>
        </is>
      </c>
      <c r="E111" s="23" t="inlineStr">
        <is>
          <t>non</t>
        </is>
      </c>
      <c r="F111" s="23" t="inlineStr">
        <is>
          <t>PRC</t>
        </is>
      </c>
      <c r="G111" s="22" t="inlineStr">
        <is>
          <t>Rapport écrit à l'envers, 4/10 = AC/6, d'où AC = 2,4 cm.</t>
        </is>
      </c>
    </row>
    <row r="112">
      <c r="A112" s="20" t="inlineStr">
        <is>
          <t>2ndeC</t>
        </is>
      </c>
      <c r="B112" s="21" t="inlineStr">
        <is>
          <t>G4</t>
        </is>
      </c>
      <c r="C112" s="21" t="inlineStr">
        <is>
          <t>c</t>
        </is>
      </c>
      <c r="D112" s="20" t="inlineStr">
        <is>
          <t>12 cm</t>
        </is>
      </c>
      <c r="E112" s="21" t="inlineStr">
        <is>
          <t>non</t>
        </is>
      </c>
      <c r="F112" s="21" t="inlineStr">
        <is>
          <t>CPT</t>
        </is>
      </c>
      <c r="G112" s="20" t="inlineStr">
        <is>
          <t>Raisonnement additif : AB - AM = 6, donc AC = AN + 6 = 12 cm.</t>
        </is>
      </c>
    </row>
    <row r="113">
      <c r="A113" s="22" t="inlineStr">
        <is>
          <t>2ndeC</t>
        </is>
      </c>
      <c r="B113" s="23" t="inlineStr">
        <is>
          <t>G4</t>
        </is>
      </c>
      <c r="C113" s="23" t="inlineStr">
        <is>
          <t>d</t>
        </is>
      </c>
      <c r="D113" s="22" t="inlineStr">
        <is>
          <t>9 cm</t>
        </is>
      </c>
      <c r="E113" s="23" t="inlineStr">
        <is>
          <t>non</t>
        </is>
      </c>
      <c r="F113" s="23" t="inlineStr">
        <is>
          <t>CPT</t>
        </is>
      </c>
      <c r="G113" s="22" t="inlineStr">
        <is>
          <t>MB = 6 cm employé à la place de AB : 4/6 = 6/AC, d'où AC = 9 cm.</t>
        </is>
      </c>
    </row>
    <row r="114">
      <c r="A114" s="20" t="inlineStr">
        <is>
          <t>2ndeC</t>
        </is>
      </c>
      <c r="B114" s="21" t="inlineStr">
        <is>
          <t>F1</t>
        </is>
      </c>
      <c r="C114" s="21" t="inlineStr">
        <is>
          <t>a</t>
        </is>
      </c>
      <c r="D114" s="20" t="inlineStr">
        <is>
          <t>-35</t>
        </is>
      </c>
      <c r="E114" s="21" t="inlineStr">
        <is>
          <t>non</t>
        </is>
      </c>
      <c r="F114" s="21" t="inlineStr">
        <is>
          <t>CPT</t>
        </is>
      </c>
      <c r="G114" s="20" t="inlineStr">
        <is>
          <t>f(13) = -39 + 4 = -35 est calculé : image et antécédent sont confondus.</t>
        </is>
      </c>
    </row>
    <row r="115">
      <c r="A115" s="22" t="inlineStr">
        <is>
          <t>2ndeC</t>
        </is>
      </c>
      <c r="B115" s="23" t="inlineStr">
        <is>
          <t>F1</t>
        </is>
      </c>
      <c r="C115" s="23" t="inlineStr">
        <is>
          <t>b</t>
        </is>
      </c>
      <c r="D115" s="22" t="inlineStr">
        <is>
          <t>3</t>
        </is>
      </c>
      <c r="E115" s="23" t="inlineStr">
        <is>
          <t>non</t>
        </is>
      </c>
      <c r="F115" s="23" t="inlineStr">
        <is>
          <t>PRC</t>
        </is>
      </c>
      <c r="G115" s="22" t="inlineStr">
        <is>
          <t>-3x = 9 est bien posé mais résolu x = 3 : erreur de signe.</t>
        </is>
      </c>
    </row>
    <row r="116">
      <c r="A116" s="20" t="inlineStr">
        <is>
          <t>2ndeC</t>
        </is>
      </c>
      <c r="B116" s="21" t="inlineStr">
        <is>
          <t>F1</t>
        </is>
      </c>
      <c r="C116" s="21" t="inlineStr">
        <is>
          <t>c</t>
        </is>
      </c>
      <c r="D116" s="20" t="inlineStr">
        <is>
          <t>-3</t>
        </is>
      </c>
      <c r="E116" s="21" t="inlineStr">
        <is>
          <t>OUI</t>
        </is>
      </c>
      <c r="F116" s="21" t="n"/>
      <c r="G116" s="20" t="n"/>
    </row>
    <row r="117">
      <c r="A117" s="22" t="inlineStr">
        <is>
          <t>2ndeC</t>
        </is>
      </c>
      <c r="B117" s="23" t="inlineStr">
        <is>
          <t>F1</t>
        </is>
      </c>
      <c r="C117" s="23" t="inlineStr">
        <is>
          <t>d</t>
        </is>
      </c>
      <c r="D117" s="22" t="inlineStr">
        <is>
          <t>-17/3</t>
        </is>
      </c>
      <c r="E117" s="23" t="inlineStr">
        <is>
          <t>non</t>
        </is>
      </c>
      <c r="F117" s="23" t="inlineStr">
        <is>
          <t>PRC</t>
        </is>
      </c>
      <c r="G117" s="22" t="inlineStr">
        <is>
          <t>Le +4 passe à droite sans changer de signe : -3x = 17, d'où x = -17/3.</t>
        </is>
      </c>
    </row>
    <row r="118">
      <c r="A118" s="20" t="inlineStr">
        <is>
          <t>1ereD</t>
        </is>
      </c>
      <c r="B118" s="21" t="inlineStr">
        <is>
          <t>N1</t>
        </is>
      </c>
      <c r="C118" s="21" t="inlineStr">
        <is>
          <t>a</t>
        </is>
      </c>
      <c r="D118" s="20" t="inlineStr">
        <is>
          <t>2√3</t>
        </is>
      </c>
      <c r="E118" s="21" t="inlineStr">
        <is>
          <t>non</t>
        </is>
      </c>
      <c r="F118" s="21" t="inlineStr">
        <is>
          <t>ATT</t>
        </is>
      </c>
      <c r="G118" s="20" t="inlineStr">
        <is>
          <t>√75 et √27 sont bien réduits (5√3 - 3√3 = 2√3) mais le terme + √12 est oublié en route.</t>
        </is>
      </c>
    </row>
    <row r="119">
      <c r="A119" s="22" t="inlineStr">
        <is>
          <t>1ereD</t>
        </is>
      </c>
      <c r="B119" s="23" t="inlineStr">
        <is>
          <t>N1</t>
        </is>
      </c>
      <c r="C119" s="23" t="inlineStr">
        <is>
          <t>b</t>
        </is>
      </c>
      <c r="D119" s="22" t="inlineStr">
        <is>
          <t>√60</t>
        </is>
      </c>
      <c r="E119" s="23" t="inlineStr">
        <is>
          <t>non</t>
        </is>
      </c>
      <c r="F119" s="23" t="inlineStr">
        <is>
          <t>CPT</t>
        </is>
      </c>
      <c r="G119" s="22" t="inlineStr">
        <is>
          <t>La racine est appliquée à la somme : √(75 - 27 + 12) = √60, comme si √(a + b) = √a + √b.</t>
        </is>
      </c>
    </row>
    <row r="120">
      <c r="A120" s="20" t="inlineStr">
        <is>
          <t>1ereD</t>
        </is>
      </c>
      <c r="B120" s="21" t="inlineStr">
        <is>
          <t>N1</t>
        </is>
      </c>
      <c r="C120" s="21" t="inlineStr">
        <is>
          <t>c</t>
        </is>
      </c>
      <c r="D120" s="20" t="inlineStr">
        <is>
          <t>4√3</t>
        </is>
      </c>
      <c r="E120" s="21" t="inlineStr">
        <is>
          <t>OUI</t>
        </is>
      </c>
      <c r="F120" s="21" t="n"/>
      <c r="G120" s="20" t="n"/>
    </row>
    <row r="121">
      <c r="A121" s="22" t="inlineStr">
        <is>
          <t>1ereD</t>
        </is>
      </c>
      <c r="B121" s="23" t="inlineStr">
        <is>
          <t>N1</t>
        </is>
      </c>
      <c r="C121" s="23" t="inlineStr">
        <is>
          <t>d</t>
        </is>
      </c>
      <c r="D121" s="22" t="inlineStr">
        <is>
          <t>6√3</t>
        </is>
      </c>
      <c r="E121" s="23" t="inlineStr">
        <is>
          <t>non</t>
        </is>
      </c>
      <c r="F121" s="23" t="inlineStr">
        <is>
          <t>PRC</t>
        </is>
      </c>
      <c r="G121" s="22" t="inlineStr">
        <is>
          <t>√12 est simplifié en 4√3 au lieu de 2√3 (le facteur 4 sort sans sa racine) : 5√3 - 3√3 + 4√3 = 6√3.</t>
        </is>
      </c>
    </row>
    <row r="122">
      <c r="A122" s="20" t="inlineStr">
        <is>
          <t>1ereD</t>
        </is>
      </c>
      <c r="B122" s="21" t="inlineStr">
        <is>
          <t>N2</t>
        </is>
      </c>
      <c r="C122" s="21" t="inlineStr">
        <is>
          <t>a</t>
        </is>
      </c>
      <c r="D122" s="20" t="inlineStr">
        <is>
          <t>]-3 ; 3[</t>
        </is>
      </c>
      <c r="E122" s="21" t="inlineStr">
        <is>
          <t>non</t>
        </is>
      </c>
      <c r="F122" s="21" t="inlineStr">
        <is>
          <t>CNS</t>
        </is>
      </c>
      <c r="G122" s="20" t="inlineStr">
        <is>
          <t>Seul le rayon 3 est gardé : l'équivalence |x - a| &lt; r ⇔ a - r &lt; x &lt; a + r n'est pas mobilisée, le centre 2 disparaît.</t>
        </is>
      </c>
    </row>
    <row r="123">
      <c r="A123" s="22" t="inlineStr">
        <is>
          <t>1ereD</t>
        </is>
      </c>
      <c r="B123" s="23" t="inlineStr">
        <is>
          <t>N2</t>
        </is>
      </c>
      <c r="C123" s="23" t="inlineStr">
        <is>
          <t>b</t>
        </is>
      </c>
      <c r="D123" s="22" t="inlineStr">
        <is>
          <t>]-1 ; 5[</t>
        </is>
      </c>
      <c r="E123" s="23" t="inlineStr">
        <is>
          <t>OUI</t>
        </is>
      </c>
      <c r="F123" s="23" t="n"/>
      <c r="G123" s="22" t="n"/>
    </row>
    <row r="124">
      <c r="A124" s="20" t="inlineStr">
        <is>
          <t>1ereD</t>
        </is>
      </c>
      <c r="B124" s="21" t="inlineStr">
        <is>
          <t>N2</t>
        </is>
      </c>
      <c r="C124" s="21" t="inlineStr">
        <is>
          <t>c</t>
        </is>
      </c>
      <c r="D124" s="20" t="inlineStr">
        <is>
          <t>]-5 ; 1[</t>
        </is>
      </c>
      <c r="E124" s="21" t="inlineStr">
        <is>
          <t>non</t>
        </is>
      </c>
      <c r="F124" s="21" t="inlineStr">
        <is>
          <t>PRC</t>
        </is>
      </c>
      <c r="G124" s="20" t="inlineStr">
        <is>
          <t>Le centre est lu -2 dans x - 2 : l'intervalle construit est ]-2 - 3 ; -2 + 3[ = ]-5 ; 1[.</t>
        </is>
      </c>
    </row>
    <row r="125">
      <c r="A125" s="22" t="inlineStr">
        <is>
          <t>1ereD</t>
        </is>
      </c>
      <c r="B125" s="23" t="inlineStr">
        <is>
          <t>N2</t>
        </is>
      </c>
      <c r="C125" s="23" t="inlineStr">
        <is>
          <t>d</t>
        </is>
      </c>
      <c r="D125" s="22" t="inlineStr">
        <is>
          <t>]2 ; 5[</t>
        </is>
      </c>
      <c r="E125" s="23" t="inlineStr">
        <is>
          <t>non</t>
        </is>
      </c>
      <c r="F125" s="23" t="inlineStr">
        <is>
          <t>CPT</t>
        </is>
      </c>
      <c r="G125" s="22" t="inlineStr">
        <is>
          <t>|x - 2| est remplacé par x - 2 sans discuter le signe : x - 2 &lt; 3 donne x &lt; 5, et l'élève ajoute x &gt; 2.</t>
        </is>
      </c>
    </row>
    <row r="126">
      <c r="A126" s="20" t="inlineStr">
        <is>
          <t>1ereD</t>
        </is>
      </c>
      <c r="B126" s="21" t="inlineStr">
        <is>
          <t>L4</t>
        </is>
      </c>
      <c r="C126" s="21" t="inlineStr">
        <is>
          <t>a</t>
        </is>
      </c>
      <c r="D126" s="20" t="inlineStr">
        <is>
          <t>[-3 ; 2]</t>
        </is>
      </c>
      <c r="E126" s="21" t="inlineStr">
        <is>
          <t>non</t>
        </is>
      </c>
      <c r="F126" s="21" t="inlineStr">
        <is>
          <t>CPT</t>
        </is>
      </c>
      <c r="G126" s="20" t="inlineStr">
        <is>
          <t>Le quotient est traité comme le produit (x - 2)(x + 3) ≤ 0 : la valeur interdite -3 est incluse.</t>
        </is>
      </c>
    </row>
    <row r="127">
      <c r="A127" s="22" t="inlineStr">
        <is>
          <t>1ereD</t>
        </is>
      </c>
      <c r="B127" s="23" t="inlineStr">
        <is>
          <t>L4</t>
        </is>
      </c>
      <c r="C127" s="23" t="inlineStr">
        <is>
          <t>b</t>
        </is>
      </c>
      <c r="D127" s="22" t="inlineStr">
        <is>
          <t>]-∞ ; -3[ ∪ [2 ; +∞[</t>
        </is>
      </c>
      <c r="E127" s="23" t="inlineStr">
        <is>
          <t>non</t>
        </is>
      </c>
      <c r="F127" s="23" t="inlineStr">
        <is>
          <t>PRC</t>
        </is>
      </c>
      <c r="G127" s="22" t="inlineStr">
        <is>
          <t>Le tableau de signe est juste mais l'élève retient les intervalles où le quotient est positif ou nul.</t>
        </is>
      </c>
    </row>
    <row r="128">
      <c r="A128" s="20" t="inlineStr">
        <is>
          <t>1ereD</t>
        </is>
      </c>
      <c r="B128" s="21" t="inlineStr">
        <is>
          <t>L4</t>
        </is>
      </c>
      <c r="C128" s="21" t="inlineStr">
        <is>
          <t>c</t>
        </is>
      </c>
      <c r="D128" s="20" t="inlineStr">
        <is>
          <t>[-2 ; 3]</t>
        </is>
      </c>
      <c r="E128" s="21" t="inlineStr">
        <is>
          <t>non</t>
        </is>
      </c>
      <c r="F128" s="21" t="inlineStr">
        <is>
          <t>PRQ</t>
        </is>
      </c>
      <c r="G128" s="20" t="inlineStr">
        <is>
          <t>Les zéros de x - 2 et de x + 3 sont pris égaux à -2 et 3 (solution de x + b = 0 lue b), et la borne 3 reste fermée.</t>
        </is>
      </c>
    </row>
    <row r="129">
      <c r="A129" s="22" t="inlineStr">
        <is>
          <t>1ereD</t>
        </is>
      </c>
      <c r="B129" s="23" t="inlineStr">
        <is>
          <t>L4</t>
        </is>
      </c>
      <c r="C129" s="23" t="inlineStr">
        <is>
          <t>d</t>
        </is>
      </c>
      <c r="D129" s="22" t="inlineStr">
        <is>
          <t>]-3 ; 2]</t>
        </is>
      </c>
      <c r="E129" s="23" t="inlineStr">
        <is>
          <t>OUI</t>
        </is>
      </c>
      <c r="F129" s="23" t="n"/>
      <c r="G129" s="22" t="n"/>
    </row>
    <row r="130">
      <c r="A130" s="20" t="inlineStr">
        <is>
          <t>1ereD</t>
        </is>
      </c>
      <c r="B130" s="21" t="inlineStr">
        <is>
          <t>F3</t>
        </is>
      </c>
      <c r="C130" s="21" t="inlineStr">
        <is>
          <t>a</t>
        </is>
      </c>
      <c r="D130" s="20" t="inlineStr">
        <is>
          <t>3 vecteur i</t>
        </is>
      </c>
      <c r="E130" s="21" t="inlineStr">
        <is>
          <t>OUI</t>
        </is>
      </c>
      <c r="F130" s="21" t="n"/>
      <c r="G130" s="20" t="n"/>
    </row>
    <row r="131">
      <c r="A131" s="22" t="inlineStr">
        <is>
          <t>1ereD</t>
        </is>
      </c>
      <c r="B131" s="23" t="inlineStr">
        <is>
          <t>F3</t>
        </is>
      </c>
      <c r="C131" s="23" t="inlineStr">
        <is>
          <t>b</t>
        </is>
      </c>
      <c r="D131" s="22" t="inlineStr">
        <is>
          <t>-3 vecteur i</t>
        </is>
      </c>
      <c r="E131" s="23" t="inlineStr">
        <is>
          <t>non</t>
        </is>
      </c>
      <c r="F131" s="23" t="inlineStr">
        <is>
          <t>CPT</t>
        </is>
      </c>
      <c r="G131" s="22" t="inlineStr">
        <is>
          <t>Le signe moins de (x - 3) est lu comme un déplacement vers la gauche : le sens de la translation est inversé.</t>
        </is>
      </c>
    </row>
    <row r="132">
      <c r="A132" s="20" t="inlineStr">
        <is>
          <t>1ereD</t>
        </is>
      </c>
      <c r="B132" s="21" t="inlineStr">
        <is>
          <t>F3</t>
        </is>
      </c>
      <c r="C132" s="21" t="inlineStr">
        <is>
          <t>c</t>
        </is>
      </c>
      <c r="D132" s="20" t="inlineStr">
        <is>
          <t>3 vecteur j</t>
        </is>
      </c>
      <c r="E132" s="21" t="inlineStr">
        <is>
          <t>non</t>
        </is>
      </c>
      <c r="F132" s="21" t="inlineStr">
        <is>
          <t>CNS</t>
        </is>
      </c>
      <c r="G132" s="20" t="inlineStr">
        <is>
          <t>Le lien entre x ↦ f(x - a) et une translation horizontale n'est pas disponible : la courbe est déplacée verticalement.</t>
        </is>
      </c>
    </row>
    <row r="133">
      <c r="A133" s="22" t="inlineStr">
        <is>
          <t>1ereD</t>
        </is>
      </c>
      <c r="B133" s="23" t="inlineStr">
        <is>
          <t>F3</t>
        </is>
      </c>
      <c r="C133" s="23" t="inlineStr">
        <is>
          <t>d</t>
        </is>
      </c>
      <c r="D133" s="22" t="inlineStr">
        <is>
          <t>-3 vecteur j</t>
        </is>
      </c>
      <c r="E133" s="23" t="inlineStr">
        <is>
          <t>non</t>
        </is>
      </c>
      <c r="F133" s="23" t="inlineStr">
        <is>
          <t>CPT</t>
        </is>
      </c>
      <c r="G133" s="22" t="inlineStr">
        <is>
          <t>(x - 3)² est confondu avec x² - 3 : un décalage de la variable est pris pour une constante retranchée à f(x).</t>
        </is>
      </c>
    </row>
    <row r="134">
      <c r="A134" s="20" t="inlineStr">
        <is>
          <t>1ereD</t>
        </is>
      </c>
      <c r="B134" s="21" t="inlineStr">
        <is>
          <t>G2</t>
        </is>
      </c>
      <c r="C134" s="21" t="inlineStr">
        <is>
          <t>a</t>
        </is>
      </c>
      <c r="D134" s="20" t="inlineStr">
        <is>
          <t>-5</t>
        </is>
      </c>
      <c r="E134" s="21" t="inlineStr">
        <is>
          <t>non</t>
        </is>
      </c>
      <c r="F134" s="21" t="inlineStr">
        <is>
          <t>PRC</t>
        </is>
      </c>
      <c r="G134" s="20" t="inlineStr">
        <is>
          <t>La formule xx' + yy' est la bonne mais le second produit (-3) × 1 est pris égal à 3 : -8 + 3 = -5.</t>
        </is>
      </c>
    </row>
    <row r="135">
      <c r="A135" s="22" t="inlineStr">
        <is>
          <t>1ereD</t>
        </is>
      </c>
      <c r="B135" s="23" t="inlineStr">
        <is>
          <t>G2</t>
        </is>
      </c>
      <c r="C135" s="23" t="inlineStr">
        <is>
          <t>b</t>
        </is>
      </c>
      <c r="D135" s="22" t="inlineStr">
        <is>
          <t>-11</t>
        </is>
      </c>
      <c r="E135" s="23" t="inlineStr">
        <is>
          <t>OUI</t>
        </is>
      </c>
      <c r="F135" s="23" t="n"/>
      <c r="G135" s="22" t="n"/>
    </row>
    <row r="136">
      <c r="A136" s="20" t="inlineStr">
        <is>
          <t>1ereD</t>
        </is>
      </c>
      <c r="B136" s="21" t="inlineStr">
        <is>
          <t>G2</t>
        </is>
      </c>
      <c r="C136" s="21" t="inlineStr">
        <is>
          <t>c</t>
        </is>
      </c>
      <c r="D136" s="20" t="inlineStr">
        <is>
          <t>5</t>
        </is>
      </c>
      <c r="E136" s="21" t="inlineStr">
        <is>
          <t>non</t>
        </is>
      </c>
      <c r="F136" s="21" t="inlineStr">
        <is>
          <t>ATT</t>
        </is>
      </c>
      <c r="G136" s="20" t="inlineStr">
        <is>
          <t>La coordonnée -4 est recopiée 4 : 2 × 4 + (-3) × 1 = 8 - 3 = 5.</t>
        </is>
      </c>
    </row>
    <row r="137">
      <c r="A137" s="22" t="inlineStr">
        <is>
          <t>1ereD</t>
        </is>
      </c>
      <c r="B137" s="23" t="inlineStr">
        <is>
          <t>G2</t>
        </is>
      </c>
      <c r="C137" s="23" t="inlineStr">
        <is>
          <t>d</t>
        </is>
      </c>
      <c r="D137" s="22" t="inlineStr">
        <is>
          <t>11</t>
        </is>
      </c>
      <c r="E137" s="23" t="inlineStr">
        <is>
          <t>non</t>
        </is>
      </c>
      <c r="F137" s="23" t="inlineStr">
        <is>
          <t>PRQ</t>
        </is>
      </c>
      <c r="G137" s="22" t="inlineStr">
        <is>
          <t>Les deux produits sont pris positifs : 8 + 3 = 11, la règle des signes du produit n'est pas sûre.</t>
        </is>
      </c>
    </row>
    <row r="138">
      <c r="A138" s="20" t="inlineStr">
        <is>
          <t>1ereD</t>
        </is>
      </c>
      <c r="B138" s="21" t="inlineStr">
        <is>
          <t>G5</t>
        </is>
      </c>
      <c r="C138" s="21" t="inlineStr">
        <is>
          <t>a</t>
        </is>
      </c>
      <c r="D138" s="20" t="inlineStr">
        <is>
          <t>sécantes</t>
        </is>
      </c>
      <c r="E138" s="21" t="inlineStr">
        <is>
          <t>non</t>
        </is>
      </c>
      <c r="F138" s="21" t="inlineStr">
        <is>
          <t>CNS</t>
        </is>
      </c>
      <c r="G138" s="20" t="inlineStr">
        <is>
          <t>(AB) ∥ (DC) et (DC) ∥ (HG) ne sont pas utilisés : l'élève se fie à l'aspect du dessin en perspective.</t>
        </is>
      </c>
    </row>
    <row r="139">
      <c r="A139" s="22" t="inlineStr">
        <is>
          <t>1ereD</t>
        </is>
      </c>
      <c r="B139" s="23" t="inlineStr">
        <is>
          <t>G5</t>
        </is>
      </c>
      <c r="C139" s="23" t="inlineStr">
        <is>
          <t>b</t>
        </is>
      </c>
      <c r="D139" s="22" t="inlineStr">
        <is>
          <t>non coplanaires</t>
        </is>
      </c>
      <c r="E139" s="23" t="inlineStr">
        <is>
          <t>non</t>
        </is>
      </c>
      <c r="F139" s="23" t="inlineStr">
        <is>
          <t>CPT</t>
        </is>
      </c>
      <c r="G139" s="22" t="inlineStr">
        <is>
          <t>Deux droites de faces différentes qui ne se coupent pas sont crues non coplanaires, alors qu'elles sont dans le plan (ABGH).</t>
        </is>
      </c>
    </row>
    <row r="140">
      <c r="A140" s="20" t="inlineStr">
        <is>
          <t>1ereD</t>
        </is>
      </c>
      <c r="B140" s="21" t="inlineStr">
        <is>
          <t>G5</t>
        </is>
      </c>
      <c r="C140" s="21" t="inlineStr">
        <is>
          <t>c</t>
        </is>
      </c>
      <c r="D140" s="20" t="inlineStr">
        <is>
          <t>parallèles</t>
        </is>
      </c>
      <c r="E140" s="21" t="inlineStr">
        <is>
          <t>OUI</t>
        </is>
      </c>
      <c r="F140" s="21" t="n"/>
      <c r="G140" s="20" t="n"/>
    </row>
    <row r="141">
      <c r="A141" s="22" t="inlineStr">
        <is>
          <t>1ereD</t>
        </is>
      </c>
      <c r="B141" s="23" t="inlineStr">
        <is>
          <t>G5</t>
        </is>
      </c>
      <c r="C141" s="23" t="inlineStr">
        <is>
          <t>d</t>
        </is>
      </c>
      <c r="D141" s="22" t="inlineStr">
        <is>
          <t>orthogonales</t>
        </is>
      </c>
      <c r="E141" s="23" t="inlineStr">
        <is>
          <t>non</t>
        </is>
      </c>
      <c r="F141" s="23" t="inlineStr">
        <is>
          <t>ATT</t>
        </is>
      </c>
      <c r="G141" s="22" t="inlineStr">
        <is>
          <t>Aucune erreur de raisonnement nette n'y conduit : lecture probable d'une autre arête issue de H, comme (HE), qui est orthogonale à (AB).</t>
        </is>
      </c>
    </row>
    <row r="142">
      <c r="A142" s="20" t="inlineStr">
        <is>
          <t>1ereD</t>
        </is>
      </c>
      <c r="B142" s="21" t="inlineStr">
        <is>
          <t>D1</t>
        </is>
      </c>
      <c r="C142" s="21" t="inlineStr">
        <is>
          <t>a</t>
        </is>
      </c>
      <c r="D142" s="20" t="inlineStr">
        <is>
          <t>49,5</t>
        </is>
      </c>
      <c r="E142" s="21" t="inlineStr">
        <is>
          <t>OUI</t>
        </is>
      </c>
      <c r="F142" s="21" t="n"/>
      <c r="G142" s="20" t="n"/>
    </row>
    <row r="143">
      <c r="A143" s="22" t="inlineStr">
        <is>
          <t>1ereD</t>
        </is>
      </c>
      <c r="B143" s="23" t="inlineStr">
        <is>
          <t>D1</t>
        </is>
      </c>
      <c r="C143" s="23" t="inlineStr">
        <is>
          <t>b</t>
        </is>
      </c>
      <c r="D143" s="22" t="inlineStr">
        <is>
          <t>49</t>
        </is>
      </c>
      <c r="E143" s="23" t="inlineStr">
        <is>
          <t>non</t>
        </is>
      </c>
      <c r="F143" s="23" t="inlineStr">
        <is>
          <t>CNS</t>
        </is>
      </c>
      <c r="G143" s="22" t="inlineStr">
        <is>
          <t>La série est rangée (45, 47, 48, 49, 50, 52, 52, 53) mais seule la 4e valeur est prise : la règle de l'effectif pair n'est pas disponible.</t>
        </is>
      </c>
    </row>
    <row r="144">
      <c r="A144" s="20" t="inlineStr">
        <is>
          <t>1ereD</t>
        </is>
      </c>
      <c r="B144" s="21" t="inlineStr">
        <is>
          <t>D1</t>
        </is>
      </c>
      <c r="C144" s="21" t="inlineStr">
        <is>
          <t>c</t>
        </is>
      </c>
      <c r="D144" s="20" t="inlineStr">
        <is>
          <t>50</t>
        </is>
      </c>
      <c r="E144" s="21" t="inlineStr">
        <is>
          <t>non</t>
        </is>
      </c>
      <c r="F144" s="21" t="inlineStr">
        <is>
          <t>PRC</t>
        </is>
      </c>
      <c r="G144" s="20" t="inlineStr">
        <is>
          <t>La série n'est pas rangée : la 4e valeur de la liste donnée (48, 52, 45, 50) est prise, l'étape de rangement est omise.</t>
        </is>
      </c>
    </row>
    <row r="145">
      <c r="A145" s="22" t="inlineStr">
        <is>
          <t>1ereD</t>
        </is>
      </c>
      <c r="B145" s="23" t="inlineStr">
        <is>
          <t>D1</t>
        </is>
      </c>
      <c r="C145" s="23" t="inlineStr">
        <is>
          <t>d</t>
        </is>
      </c>
      <c r="D145" s="22" t="inlineStr">
        <is>
          <t>52</t>
        </is>
      </c>
      <c r="E145" s="23" t="inlineStr">
        <is>
          <t>non</t>
        </is>
      </c>
      <c r="F145" s="23" t="inlineStr">
        <is>
          <t>CPT</t>
        </is>
      </c>
      <c r="G145" s="22" t="inlineStr">
        <is>
          <t>La médiane est confondue avec le mode : 52 apparaît deux fois.</t>
        </is>
      </c>
    </row>
    <row r="146">
      <c r="A146" s="20" t="inlineStr">
        <is>
          <t>tleD</t>
        </is>
      </c>
      <c r="B146" s="21" t="inlineStr">
        <is>
          <t>L2</t>
        </is>
      </c>
      <c r="C146" s="21" t="inlineStr">
        <is>
          <t>a</t>
        </is>
      </c>
      <c r="D146" s="20" t="inlineStr">
        <is>
          <t>]-∞ ; 1[ ∪ ]3 ; +∞[</t>
        </is>
      </c>
      <c r="E146" s="21" t="inlineStr">
        <is>
          <t>non</t>
        </is>
      </c>
      <c r="F146" s="21" t="inlineStr">
        <is>
          <t>CPT</t>
        </is>
      </c>
      <c r="G146" s="20" t="inlineStr">
        <is>
          <t>Appliquer « positif à l'extérieur des racines 1 et 3 » sans tenir compte du coefficient -1 de x², qui inverse le signe.</t>
        </is>
      </c>
    </row>
    <row r="147">
      <c r="A147" s="22" t="inlineStr">
        <is>
          <t>tleD</t>
        </is>
      </c>
      <c r="B147" s="23" t="inlineStr">
        <is>
          <t>L2</t>
        </is>
      </c>
      <c r="C147" s="23" t="inlineStr">
        <is>
          <t>b</t>
        </is>
      </c>
      <c r="D147" s="22" t="inlineStr">
        <is>
          <t>[1 ; 3]</t>
        </is>
      </c>
      <c r="E147" s="23" t="inlineStr">
        <is>
          <t>non</t>
        </is>
      </c>
      <c r="F147" s="23" t="inlineStr">
        <is>
          <t>PRC</t>
        </is>
      </c>
      <c r="G147" s="22" t="inlineStr">
        <is>
          <t>Racines 1 et 3 et signe justes, mais bornes incluses alors que l'inégalité &gt; 0 est stricte.</t>
        </is>
      </c>
    </row>
    <row r="148">
      <c r="A148" s="20" t="inlineStr">
        <is>
          <t>tleD</t>
        </is>
      </c>
      <c r="B148" s="21" t="inlineStr">
        <is>
          <t>L2</t>
        </is>
      </c>
      <c r="C148" s="21" t="inlineStr">
        <is>
          <t>c</t>
        </is>
      </c>
      <c r="D148" s="20" t="inlineStr">
        <is>
          <t>]1 ; 3[</t>
        </is>
      </c>
      <c r="E148" s="21" t="inlineStr">
        <is>
          <t>OUI</t>
        </is>
      </c>
      <c r="F148" s="21" t="n"/>
      <c r="G148" s="20" t="n"/>
    </row>
    <row r="149">
      <c r="A149" s="22" t="inlineStr">
        <is>
          <t>tleD</t>
        </is>
      </c>
      <c r="B149" s="23" t="inlineStr">
        <is>
          <t>L2</t>
        </is>
      </c>
      <c r="C149" s="23" t="inlineStr">
        <is>
          <t>d</t>
        </is>
      </c>
      <c r="D149" s="22" t="inlineStr">
        <is>
          <t>]-3 ; -1[</t>
        </is>
      </c>
      <c r="E149" s="23" t="inlineStr">
        <is>
          <t>non</t>
        </is>
      </c>
      <c r="F149" s="23" t="inlineStr">
        <is>
          <t>PRC</t>
        </is>
      </c>
      <c r="G149" s="22" t="inlineStr">
        <is>
          <t>Racines de x² - 4x + 3 prises de signe opposé (-1 et -3, racines de x² + 4x + 3) : erreur de signe dans la recherche des racines.</t>
        </is>
      </c>
    </row>
    <row r="150">
      <c r="A150" s="20" t="inlineStr">
        <is>
          <t>tleD</t>
        </is>
      </c>
      <c r="B150" s="21" t="inlineStr">
        <is>
          <t>F1</t>
        </is>
      </c>
      <c r="C150" s="21" t="inlineStr">
        <is>
          <t>a</t>
        </is>
      </c>
      <c r="D150" s="20" t="inlineStr">
        <is>
          <t>]3 ; +∞[</t>
        </is>
      </c>
      <c r="E150" s="21" t="inlineStr">
        <is>
          <t>OUI</t>
        </is>
      </c>
      <c r="F150" s="21" t="n"/>
      <c r="G150" s="20" t="n"/>
    </row>
    <row r="151">
      <c r="A151" s="22" t="inlineStr">
        <is>
          <t>tleD</t>
        </is>
      </c>
      <c r="B151" s="23" t="inlineStr">
        <is>
          <t>F1</t>
        </is>
      </c>
      <c r="C151" s="23" t="inlineStr">
        <is>
          <t>b</t>
        </is>
      </c>
      <c r="D151" s="22" t="inlineStr">
        <is>
          <t>[3 ; +∞[</t>
        </is>
      </c>
      <c r="E151" s="23" t="inlineStr">
        <is>
          <t>non</t>
        </is>
      </c>
      <c r="F151" s="23" t="inlineStr">
        <is>
          <t>CNS</t>
        </is>
      </c>
      <c r="G151" s="22" t="inlineStr">
        <is>
          <t>Seule la condition x - 3 ≥ 0 du radical est écrite : la condition « dénominateur non nul » n'est pas mobilisée, 3 est inclus.</t>
        </is>
      </c>
    </row>
    <row r="152">
      <c r="A152" s="20" t="inlineStr">
        <is>
          <t>tleD</t>
        </is>
      </c>
      <c r="B152" s="21" t="inlineStr">
        <is>
          <t>F1</t>
        </is>
      </c>
      <c r="C152" s="21" t="inlineStr">
        <is>
          <t>c</t>
        </is>
      </c>
      <c r="D152" s="20" t="inlineStr">
        <is>
          <t>]-∞ ; 3[</t>
        </is>
      </c>
      <c r="E152" s="21" t="inlineStr">
        <is>
          <t>non</t>
        </is>
      </c>
      <c r="F152" s="21" t="inlineStr">
        <is>
          <t>PRC</t>
        </is>
      </c>
      <c r="G152" s="20" t="inlineStr">
        <is>
          <t>La condition x - 3 &gt; 0 est bien posée mais résolue avec le sens de l'inégalité inversé.</t>
        </is>
      </c>
    </row>
    <row r="153">
      <c r="A153" s="22" t="inlineStr">
        <is>
          <t>tleD</t>
        </is>
      </c>
      <c r="B153" s="23" t="inlineStr">
        <is>
          <t>F1</t>
        </is>
      </c>
      <c r="C153" s="23" t="inlineStr">
        <is>
          <t>d</t>
        </is>
      </c>
      <c r="D153" s="22" t="inlineStr">
        <is>
          <t>ℝ privé de 3</t>
        </is>
      </c>
      <c r="E153" s="23" t="inlineStr">
        <is>
          <t>non</t>
        </is>
      </c>
      <c r="F153" s="23" t="inlineStr">
        <is>
          <t>CPT</t>
        </is>
      </c>
      <c r="G153" s="22" t="inlineStr">
        <is>
          <t>Le radical est ignoré : x - 3 est traité comme un simple dénominateur qui doit seulement être non nul.</t>
        </is>
      </c>
    </row>
    <row r="154">
      <c r="A154" s="20" t="inlineStr">
        <is>
          <t>tleD</t>
        </is>
      </c>
      <c r="B154" s="21" t="inlineStr">
        <is>
          <t>F3</t>
        </is>
      </c>
      <c r="C154" s="21" t="inlineStr">
        <is>
          <t>a</t>
        </is>
      </c>
      <c r="D154" s="20" t="inlineStr">
        <is>
          <t>3</t>
        </is>
      </c>
      <c r="E154" s="21" t="inlineStr">
        <is>
          <t>non</t>
        </is>
      </c>
      <c r="F154" s="21" t="inlineStr">
        <is>
          <t>CNS</t>
        </is>
      </c>
      <c r="G154" s="20" t="inlineStr">
        <is>
          <t>Seul le numérateur est évalué en 2 (2 + 1 = 3) : la règle « limite non nulle sur limite nulle donne une limite infinie » n'est pas mobilisée.</t>
        </is>
      </c>
    </row>
    <row r="155">
      <c r="A155" s="22" t="inlineStr">
        <is>
          <t>tleD</t>
        </is>
      </c>
      <c r="B155" s="23" t="inlineStr">
        <is>
          <t>F3</t>
        </is>
      </c>
      <c r="C155" s="23" t="inlineStr">
        <is>
          <t>b</t>
        </is>
      </c>
      <c r="D155" s="22" t="inlineStr">
        <is>
          <t>+∞</t>
        </is>
      </c>
      <c r="E155" s="23" t="inlineStr">
        <is>
          <t>OUI</t>
        </is>
      </c>
      <c r="F155" s="23" t="n"/>
      <c r="G155" s="22" t="n"/>
    </row>
    <row r="156">
      <c r="A156" s="20" t="inlineStr">
        <is>
          <t>tleD</t>
        </is>
      </c>
      <c r="B156" s="21" t="inlineStr">
        <is>
          <t>F3</t>
        </is>
      </c>
      <c r="C156" s="21" t="inlineStr">
        <is>
          <t>c</t>
        </is>
      </c>
      <c r="D156" s="20" t="inlineStr">
        <is>
          <t>-∞</t>
        </is>
      </c>
      <c r="E156" s="21" t="inlineStr">
        <is>
          <t>non</t>
        </is>
      </c>
      <c r="F156" s="21" t="inlineStr">
        <is>
          <t>PRC</t>
        </is>
      </c>
      <c r="G156" s="20" t="inlineStr">
        <is>
          <t>Forme 3/0 bien reconnue, mais le signe de x - 2 pour x &gt; 2 est mal étudié (pris négatif).</t>
        </is>
      </c>
    </row>
    <row r="157">
      <c r="A157" s="22" t="inlineStr">
        <is>
          <t>tleD</t>
        </is>
      </c>
      <c r="B157" s="23" t="inlineStr">
        <is>
          <t>F3</t>
        </is>
      </c>
      <c r="C157" s="23" t="inlineStr">
        <is>
          <t>d</t>
        </is>
      </c>
      <c r="D157" s="22" t="inlineStr">
        <is>
          <t>0</t>
        </is>
      </c>
      <c r="E157" s="23" t="inlineStr">
        <is>
          <t>non</t>
        </is>
      </c>
      <c r="F157" s="23" t="inlineStr">
        <is>
          <t>CPT</t>
        </is>
      </c>
      <c r="G157" s="22" t="inlineStr">
        <is>
          <t>Le quotient 3/0 est interprété comme valant 0 : un dénominateur qui tend vers 0 est confondu avec un quotient nul.</t>
        </is>
      </c>
    </row>
    <row r="158">
      <c r="A158" s="20" t="inlineStr">
        <is>
          <t>tleD</t>
        </is>
      </c>
      <c r="B158" s="21" t="inlineStr">
        <is>
          <t>F5</t>
        </is>
      </c>
      <c r="C158" s="21" t="inlineStr">
        <is>
          <t>a</t>
        </is>
      </c>
      <c r="D158" s="20" t="inlineStr">
        <is>
          <t>x = 1 et y = 4</t>
        </is>
      </c>
      <c r="E158" s="21" t="inlineStr">
        <is>
          <t>non</t>
        </is>
      </c>
      <c r="F158" s="21" t="inlineStr">
        <is>
          <t>PRC</t>
        </is>
      </c>
      <c r="G158" s="20" t="inlineStr">
        <is>
          <t>La valeur interdite est mal lue : x + 1 = 0 résolu en x = 1 au lieu de x = -1.</t>
        </is>
      </c>
    </row>
    <row r="159">
      <c r="A159" s="22" t="inlineStr">
        <is>
          <t>tleD</t>
        </is>
      </c>
      <c r="B159" s="23" t="inlineStr">
        <is>
          <t>F5</t>
        </is>
      </c>
      <c r="C159" s="23" t="inlineStr">
        <is>
          <t>b</t>
        </is>
      </c>
      <c r="D159" s="22" t="inlineStr">
        <is>
          <t>x = -1 et y = 5</t>
        </is>
      </c>
      <c r="E159" s="23" t="inlineStr">
        <is>
          <t>non</t>
        </is>
      </c>
      <c r="F159" s="23" t="inlineStr">
        <is>
          <t>CNS</t>
        </is>
      </c>
      <c r="G159" s="22" t="inlineStr">
        <is>
          <t>L'asymptote horizontale est lue sur le terme constant 5 du numérateur : la limite en l'infini (rapport 4/1 des coefficients de x) n'est pas mobilisée.</t>
        </is>
      </c>
    </row>
    <row r="160">
      <c r="A160" s="20" t="inlineStr">
        <is>
          <t>tleD</t>
        </is>
      </c>
      <c r="B160" s="21" t="inlineStr">
        <is>
          <t>F5</t>
        </is>
      </c>
      <c r="C160" s="21" t="inlineStr">
        <is>
          <t>c</t>
        </is>
      </c>
      <c r="D160" s="20" t="inlineStr">
        <is>
          <t>y = -1 et x = 4</t>
        </is>
      </c>
      <c r="E160" s="21" t="inlineStr">
        <is>
          <t>non</t>
        </is>
      </c>
      <c r="F160" s="21" t="inlineStr">
        <is>
          <t>CPT</t>
        </is>
      </c>
      <c r="G160" s="20" t="inlineStr">
        <is>
          <t>Les deux valeurs sont justes mais les rôles de x et y sont échangés : asymptote verticale et horizontale confondues.</t>
        </is>
      </c>
    </row>
    <row r="161">
      <c r="A161" s="22" t="inlineStr">
        <is>
          <t>tleD</t>
        </is>
      </c>
      <c r="B161" s="23" t="inlineStr">
        <is>
          <t>F5</t>
        </is>
      </c>
      <c r="C161" s="23" t="inlineStr">
        <is>
          <t>d</t>
        </is>
      </c>
      <c r="D161" s="22" t="inlineStr">
        <is>
          <t>x = -1 et y = 4</t>
        </is>
      </c>
      <c r="E161" s="23" t="inlineStr">
        <is>
          <t>OUI</t>
        </is>
      </c>
      <c r="F161" s="23" t="n"/>
      <c r="G161" s="22" t="n"/>
    </row>
    <row r="162">
      <c r="A162" s="20" t="inlineStr">
        <is>
          <t>tleD</t>
        </is>
      </c>
      <c r="B162" s="21" t="inlineStr">
        <is>
          <t>S1</t>
        </is>
      </c>
      <c r="C162" s="21" t="inlineStr">
        <is>
          <t>a</t>
        </is>
      </c>
      <c r="D162" s="20" t="inlineStr">
        <is>
          <t>7</t>
        </is>
      </c>
      <c r="E162" s="21" t="inlineStr">
        <is>
          <t>non</t>
        </is>
      </c>
      <c r="F162" s="21" t="inlineStr">
        <is>
          <t>CPT</t>
        </is>
      </c>
      <c r="G162" s="20" t="inlineStr">
        <is>
          <t>Le terme constant 7, qui est u₀, est pris pour la raison : premier terme et raison sont confondus.</t>
        </is>
      </c>
    </row>
    <row r="163">
      <c r="A163" s="22" t="inlineStr">
        <is>
          <t>tleD</t>
        </is>
      </c>
      <c r="B163" s="23" t="inlineStr">
        <is>
          <t>S1</t>
        </is>
      </c>
      <c r="C163" s="23" t="inlineStr">
        <is>
          <t>b</t>
        </is>
      </c>
      <c r="D163" s="22" t="inlineStr">
        <is>
          <t>-4</t>
        </is>
      </c>
      <c r="E163" s="23" t="inlineStr">
        <is>
          <t>OUI</t>
        </is>
      </c>
      <c r="F163" s="23" t="n"/>
      <c r="G163" s="22" t="n"/>
    </row>
    <row r="164">
      <c r="A164" s="20" t="inlineStr">
        <is>
          <t>tleD</t>
        </is>
      </c>
      <c r="B164" s="21" t="inlineStr">
        <is>
          <t>S1</t>
        </is>
      </c>
      <c r="C164" s="21" t="inlineStr">
        <is>
          <t>c</t>
        </is>
      </c>
      <c r="D164" s="20" t="inlineStr">
        <is>
          <t>4</t>
        </is>
      </c>
      <c r="E164" s="21" t="inlineStr">
        <is>
          <t>non</t>
        </is>
      </c>
      <c r="F164" s="21" t="inlineStr">
        <is>
          <t>PRC</t>
        </is>
      </c>
      <c r="G164" s="20" t="inlineStr">
        <is>
          <t>Le coefficient de n est bien identifié mais son signe moins est perdu.</t>
        </is>
      </c>
    </row>
    <row r="165">
      <c r="A165" s="22" t="inlineStr">
        <is>
          <t>tleD</t>
        </is>
      </c>
      <c r="B165" s="23" t="inlineStr">
        <is>
          <t>S1</t>
        </is>
      </c>
      <c r="C165" s="23" t="inlineStr">
        <is>
          <t>d</t>
        </is>
      </c>
      <c r="D165" s="22" t="inlineStr">
        <is>
          <t>3</t>
        </is>
      </c>
      <c r="E165" s="23" t="inlineStr">
        <is>
          <t>non</t>
        </is>
      </c>
      <c r="F165" s="23" t="inlineStr">
        <is>
          <t>CNS</t>
        </is>
      </c>
      <c r="G165" s="22" t="inlineStr">
        <is>
          <t>L'élève calcule u₁ = 7 - 4 = 3 : la définition de la raison (uₙ₊₁ - uₙ) n'est pas mobilisée.</t>
        </is>
      </c>
    </row>
    <row r="166">
      <c r="A166" s="20" t="inlineStr">
        <is>
          <t>tleD</t>
        </is>
      </c>
      <c r="B166" s="21" t="inlineStr">
        <is>
          <t>D1</t>
        </is>
      </c>
      <c r="C166" s="21" t="inlineStr">
        <is>
          <t>a</t>
        </is>
      </c>
      <c r="D166" s="20" t="inlineStr">
        <is>
          <t>1320</t>
        </is>
      </c>
      <c r="E166" s="21" t="inlineStr">
        <is>
          <t>non</t>
        </is>
      </c>
      <c r="F166" s="21" t="inlineStr">
        <is>
          <t>CPT</t>
        </is>
      </c>
      <c r="G166" s="20" t="inlineStr">
        <is>
          <t>Calcul de l'arrangement 12 × 11 × 10 = 1 320 : l'ordre des trois élèves est compté alors qu'il n'intervient pas.</t>
        </is>
      </c>
    </row>
    <row r="167">
      <c r="A167" s="22" t="inlineStr">
        <is>
          <t>tleD</t>
        </is>
      </c>
      <c r="B167" s="23" t="inlineStr">
        <is>
          <t>D1</t>
        </is>
      </c>
      <c r="C167" s="23" t="inlineStr">
        <is>
          <t>b</t>
        </is>
      </c>
      <c r="D167" s="22" t="inlineStr">
        <is>
          <t>36</t>
        </is>
      </c>
      <c r="E167" s="23" t="inlineStr">
        <is>
          <t>non</t>
        </is>
      </c>
      <c r="F167" s="23" t="inlineStr">
        <is>
          <t>CNS</t>
        </is>
      </c>
      <c r="G167" s="22" t="inlineStr">
        <is>
          <t>Produit 12 × 3 = 36 : aucun outil de dénombrement n'est mobilisé.</t>
        </is>
      </c>
    </row>
    <row r="168">
      <c r="A168" s="20" t="inlineStr">
        <is>
          <t>tleD</t>
        </is>
      </c>
      <c r="B168" s="21" t="inlineStr">
        <is>
          <t>D1</t>
        </is>
      </c>
      <c r="C168" s="21" t="inlineStr">
        <is>
          <t>c</t>
        </is>
      </c>
      <c r="D168" s="20" t="inlineStr">
        <is>
          <t>220</t>
        </is>
      </c>
      <c r="E168" s="21" t="inlineStr">
        <is>
          <t>OUI</t>
        </is>
      </c>
      <c r="F168" s="21" t="n"/>
      <c r="G168" s="20" t="n"/>
    </row>
    <row r="169">
      <c r="A169" s="22" t="inlineStr">
        <is>
          <t>tleD</t>
        </is>
      </c>
      <c r="B169" s="23" t="inlineStr">
        <is>
          <t>D1</t>
        </is>
      </c>
      <c r="C169" s="23" t="inlineStr">
        <is>
          <t>d</t>
        </is>
      </c>
      <c r="D169" s="22" t="inlineStr">
        <is>
          <t>1728</t>
        </is>
      </c>
      <c r="E169" s="23" t="inlineStr">
        <is>
          <t>non</t>
        </is>
      </c>
      <c r="F169" s="23" t="inlineStr">
        <is>
          <t>MOD</t>
        </is>
      </c>
      <c r="G169" s="22" t="inlineStr">
        <is>
          <t>Calcul de 12³ = 1 728 : la situation est modélisée comme trois tirages avec répétition, un même élève pouvant être choisi plusieurs fois.</t>
        </is>
      </c>
    </row>
    <row r="170">
      <c r="A170" s="20" t="inlineStr">
        <is>
          <t>tleD</t>
        </is>
      </c>
      <c r="B170" s="21" t="inlineStr">
        <is>
          <t>G1</t>
        </is>
      </c>
      <c r="C170" s="21" t="inlineStr">
        <is>
          <t>a</t>
        </is>
      </c>
      <c r="D170" s="20" t="inlineStr">
        <is>
          <t>-3/2</t>
        </is>
      </c>
      <c r="E170" s="21" t="inlineStr">
        <is>
          <t>non</t>
        </is>
      </c>
      <c r="F170" s="21" t="inlineStr">
        <is>
          <t>PRC</t>
        </is>
      </c>
      <c r="G170" s="20" t="inlineStr">
        <is>
          <t>Condition juste mais 3 × (-2) écrit +6 : 4m + 6 = 0 donne m = -3/2.</t>
        </is>
      </c>
    </row>
    <row r="171">
      <c r="A171" s="22" t="inlineStr">
        <is>
          <t>tleD</t>
        </is>
      </c>
      <c r="B171" s="23" t="inlineStr">
        <is>
          <t>G1</t>
        </is>
      </c>
      <c r="C171" s="23" t="inlineStr">
        <is>
          <t>b</t>
        </is>
      </c>
      <c r="D171" s="22" t="inlineStr">
        <is>
          <t>6</t>
        </is>
      </c>
      <c r="E171" s="23" t="inlineStr">
        <is>
          <t>non</t>
        </is>
      </c>
      <c r="F171" s="23" t="inlineStr">
        <is>
          <t>CPT</t>
        </is>
      </c>
      <c r="G171" s="22" t="inlineStr">
        <is>
          <t>Produits croisés comme pour un déterminant : m × (-2) + 3 × 4 = 0 donne -2m + 12 = 0, soit m = 6.</t>
        </is>
      </c>
    </row>
    <row r="172">
      <c r="A172" s="20" t="inlineStr">
        <is>
          <t>tleD</t>
        </is>
      </c>
      <c r="B172" s="21" t="inlineStr">
        <is>
          <t>G1</t>
        </is>
      </c>
      <c r="C172" s="21" t="inlineStr">
        <is>
          <t>c</t>
        </is>
      </c>
      <c r="D172" s="20" t="inlineStr">
        <is>
          <t>2/3</t>
        </is>
      </c>
      <c r="E172" s="21" t="inlineStr">
        <is>
          <t>non</t>
        </is>
      </c>
      <c r="F172" s="21" t="inlineStr">
        <is>
          <t>PRC</t>
        </is>
      </c>
      <c r="G172" s="20" t="inlineStr">
        <is>
          <t>4m - 6 = 0 bien posé mais la division est inversée : m = 4/6 = 2/3.</t>
        </is>
      </c>
    </row>
    <row r="173">
      <c r="A173" s="22" t="inlineStr">
        <is>
          <t>tleD</t>
        </is>
      </c>
      <c r="B173" s="23" t="inlineStr">
        <is>
          <t>G1</t>
        </is>
      </c>
      <c r="C173" s="23" t="inlineStr">
        <is>
          <t>d</t>
        </is>
      </c>
      <c r="D173" s="22" t="inlineStr">
        <is>
          <t>3/2</t>
        </is>
      </c>
      <c r="E173" s="23" t="inlineStr">
        <is>
          <t>OUI</t>
        </is>
      </c>
      <c r="F173" s="23" t="n"/>
      <c r="G173" s="22" t="n"/>
    </row>
  </sheetData>
  <autoFilter ref="A1:G17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29"/>
  <sheetViews>
    <sheetView workbookViewId="0">
      <pane ySplit="1" topLeftCell="A2" activePane="bottomLeft" state="frozen"/>
      <selection pane="bottomLeft" activeCell="A1" sqref="A1"/>
    </sheetView>
  </sheetViews>
  <sheetFormatPr baseColWidth="8" defaultRowHeight="15"/>
  <cols>
    <col width="15" customWidth="1" style="10" min="1" max="1"/>
    <col width="12" customWidth="1" style="10" min="2" max="2"/>
    <col width="34" customWidth="1" style="10" min="3" max="3"/>
    <col width="11" customWidth="1" style="10" min="4" max="4"/>
    <col width="11" customWidth="1" style="10" min="5" max="5"/>
    <col width="11" customWidth="1" style="10" min="6" max="6"/>
    <col width="11" customWidth="1" style="10" min="7" max="7"/>
    <col width="16" customWidth="1" style="10" min="8" max="8"/>
    <col width="12" customWidth="1" style="10" min="9" max="9"/>
    <col width="16" customWidth="1" style="10" min="10" max="10"/>
    <col width="44" customWidth="1" style="10" min="11" max="11"/>
  </cols>
  <sheetData>
    <row r="1" ht="30" customHeight="1" s="10">
      <c r="A1" s="19" t="inlineStr">
        <is>
          <t>Niveau du test</t>
        </is>
      </c>
      <c r="B1" s="19" t="inlineStr">
        <is>
          <t>Code local</t>
        </is>
      </c>
      <c r="C1" s="19" t="inlineStr">
        <is>
          <t>Compétence(s) canonique(s)</t>
        </is>
      </c>
      <c r="D1" s="19" t="inlineStr">
        <is>
          <t>Attendu en A</t>
        </is>
      </c>
      <c r="E1" s="19" t="inlineStr">
        <is>
          <t>Tagué en A</t>
        </is>
      </c>
      <c r="F1" s="19" t="inlineStr">
        <is>
          <t>Attendu en B</t>
        </is>
      </c>
      <c r="G1" s="19" t="inlineStr">
        <is>
          <t>Tagué en B</t>
        </is>
      </c>
      <c r="H1" s="19" t="inlineStr">
        <is>
          <t>Sous-questions de C (compétence principale)</t>
        </is>
      </c>
      <c r="I1" s="19" t="inlineStr">
        <is>
          <t>Contrôle A et B</t>
        </is>
      </c>
      <c r="J1" s="19" t="inlineStr">
        <is>
          <t>Niveau 1 et niveau 2 évalués</t>
        </is>
      </c>
      <c r="K1" s="19" t="inlineStr">
        <is>
          <t>Arbitrage documenté</t>
        </is>
      </c>
    </row>
    <row r="2">
      <c r="A2" s="20" t="inlineStr">
        <is>
          <t>6eme</t>
        </is>
      </c>
      <c r="B2" s="20" t="inlineStr">
        <is>
          <t>N-a</t>
        </is>
      </c>
      <c r="C2" s="20" t="inlineStr">
        <is>
          <t>N.NUM</t>
        </is>
      </c>
      <c r="D2" s="21" t="n">
        <v>1</v>
      </c>
      <c r="E2" s="21">
        <f>COUNTIFS('04_Questions'!$A:$A,$A2,'04_Questions'!$F:$F,$B2,'04_Questions'!$C:$C,"A")</f>
        <v/>
      </c>
      <c r="F2" s="21" t="n">
        <v>0</v>
      </c>
      <c r="G2" s="21">
        <f>COUNTIFS('04_Questions'!$A:$A,$A2,'04_Questions'!$F:$F,$B2,'04_Questions'!$C:$C,"B")</f>
        <v/>
      </c>
      <c r="H2" s="21">
        <f>COUNTIFS('04_Questions'!$A:$A,$A2,'04_Questions'!$F:$F,$B2,'04_Questions'!$C:$C,"C")</f>
        <v/>
      </c>
      <c r="I2" s="21">
        <f>IF(AND(E2=D2,G2=F2),"OK","écart")</f>
        <v/>
      </c>
      <c r="J2" s="21">
        <f>IF(E2&gt;=1,IF(G2+H2&gt;=1,"OK","sans niveau 2"),IF(G2+H2&gt;=1,"sans niveau 1","non évaluée"))</f>
        <v/>
      </c>
      <c r="K2" s="20" t="n"/>
    </row>
    <row r="3">
      <c r="A3" s="22" t="inlineStr">
        <is>
          <t>6eme</t>
        </is>
      </c>
      <c r="B3" s="22" t="inlineStr">
        <is>
          <t>N-b</t>
        </is>
      </c>
      <c r="C3" s="22" t="inlineStr">
        <is>
          <t>N.CMP</t>
        </is>
      </c>
      <c r="D3" s="23" t="n">
        <v>1</v>
      </c>
      <c r="E3" s="23">
        <f>COUNTIFS('04_Questions'!$A:$A,$A3,'04_Questions'!$F:$F,$B3,'04_Questions'!$C:$C,"A")</f>
        <v/>
      </c>
      <c r="F3" s="23" t="n">
        <v>0</v>
      </c>
      <c r="G3" s="23">
        <f>COUNTIFS('04_Questions'!$A:$A,$A3,'04_Questions'!$F:$F,$B3,'04_Questions'!$C:$C,"B")</f>
        <v/>
      </c>
      <c r="H3" s="23">
        <f>COUNTIFS('04_Questions'!$A:$A,$A3,'04_Questions'!$F:$F,$B3,'04_Questions'!$C:$C,"C")</f>
        <v/>
      </c>
      <c r="I3" s="23">
        <f>IF(AND(E3=D3,G3=F3),"OK","écart")</f>
        <v/>
      </c>
      <c r="J3" s="23">
        <f>IF(E3&gt;=1,IF(G3+H3&gt;=1,"OK","sans niveau 2"),IF(G3+H3&gt;=1,"sans niveau 1","non évaluée"))</f>
        <v/>
      </c>
      <c r="K3" s="22" t="n"/>
    </row>
    <row r="4">
      <c r="A4" s="20" t="inlineStr">
        <is>
          <t>6eme</t>
        </is>
      </c>
      <c r="B4" s="20" t="inlineStr">
        <is>
          <t>N-c</t>
        </is>
      </c>
      <c r="C4" s="20" t="inlineStr">
        <is>
          <t>N.ADD</t>
        </is>
      </c>
      <c r="D4" s="21" t="n">
        <v>1</v>
      </c>
      <c r="E4" s="21">
        <f>COUNTIFS('04_Questions'!$A:$A,$A4,'04_Questions'!$F:$F,$B4,'04_Questions'!$C:$C,"A")</f>
        <v/>
      </c>
      <c r="F4" s="21" t="n">
        <v>1</v>
      </c>
      <c r="G4" s="21">
        <f>COUNTIFS('04_Questions'!$A:$A,$A4,'04_Questions'!$F:$F,$B4,'04_Questions'!$C:$C,"B")</f>
        <v/>
      </c>
      <c r="H4" s="21">
        <f>COUNTIFS('04_Questions'!$A:$A,$A4,'04_Questions'!$F:$F,$B4,'04_Questions'!$C:$C,"C")</f>
        <v/>
      </c>
      <c r="I4" s="21">
        <f>IF(AND(E4=D4,G4=F4),"OK","écart")</f>
        <v/>
      </c>
      <c r="J4" s="21">
        <f>IF(E4&gt;=1,IF(G4+H4&gt;=1,"OK","sans niveau 2"),IF(G4+H4&gt;=1,"sans niveau 1","non évaluée"))</f>
        <v/>
      </c>
      <c r="K4" s="20" t="n"/>
    </row>
    <row r="5">
      <c r="A5" s="22" t="inlineStr">
        <is>
          <t>6eme</t>
        </is>
      </c>
      <c r="B5" s="22" t="inlineStr">
        <is>
          <t>N-d</t>
        </is>
      </c>
      <c r="C5" s="22" t="inlineStr">
        <is>
          <t>N.MUL</t>
        </is>
      </c>
      <c r="D5" s="23" t="n">
        <v>1</v>
      </c>
      <c r="E5" s="23">
        <f>COUNTIFS('04_Questions'!$A:$A,$A5,'04_Questions'!$F:$F,$B5,'04_Questions'!$C:$C,"A")</f>
        <v/>
      </c>
      <c r="F5" s="23" t="n">
        <v>1</v>
      </c>
      <c r="G5" s="23">
        <f>COUNTIFS('04_Questions'!$A:$A,$A5,'04_Questions'!$F:$F,$B5,'04_Questions'!$C:$C,"B")</f>
        <v/>
      </c>
      <c r="H5" s="23">
        <f>COUNTIFS('04_Questions'!$A:$A,$A5,'04_Questions'!$F:$F,$B5,'04_Questions'!$C:$C,"C")</f>
        <v/>
      </c>
      <c r="I5" s="23">
        <f>IF(AND(E5=D5,G5=F5),"OK","écart")</f>
        <v/>
      </c>
      <c r="J5" s="23">
        <f>IF(E5&gt;=1,IF(G5+H5&gt;=1,"OK","sans niveau 2"),IF(G5+H5&gt;=1,"sans niveau 1","non évaluée"))</f>
        <v/>
      </c>
      <c r="K5" s="22" t="n"/>
    </row>
    <row r="6">
      <c r="A6" s="20" t="inlineStr">
        <is>
          <t>6eme</t>
        </is>
      </c>
      <c r="B6" s="20" t="inlineStr">
        <is>
          <t>N-e</t>
        </is>
      </c>
      <c r="C6" s="20" t="inlineStr">
        <is>
          <t>N.DIVE</t>
        </is>
      </c>
      <c r="D6" s="21" t="n">
        <v>1</v>
      </c>
      <c r="E6" s="21">
        <f>COUNTIFS('04_Questions'!$A:$A,$A6,'04_Questions'!$F:$F,$B6,'04_Questions'!$C:$C,"A")</f>
        <v/>
      </c>
      <c r="F6" s="21" t="n">
        <v>1</v>
      </c>
      <c r="G6" s="21">
        <f>COUNTIFS('04_Questions'!$A:$A,$A6,'04_Questions'!$F:$F,$B6,'04_Questions'!$C:$C,"B")</f>
        <v/>
      </c>
      <c r="H6" s="21">
        <f>COUNTIFS('04_Questions'!$A:$A,$A6,'04_Questions'!$F:$F,$B6,'04_Questions'!$C:$C,"C")</f>
        <v/>
      </c>
      <c r="I6" s="21">
        <f>IF(AND(E6=D6,G6=F6),"OK","écart")</f>
        <v/>
      </c>
      <c r="J6" s="21">
        <f>IF(E6&gt;=1,IF(G6+H6&gt;=1,"OK","sans niveau 2"),IF(G6+H6&gt;=1,"sans niveau 1","non évaluée"))</f>
        <v/>
      </c>
      <c r="K6" s="20" t="n"/>
    </row>
    <row r="7">
      <c r="A7" s="22" t="inlineStr">
        <is>
          <t>6eme</t>
        </is>
      </c>
      <c r="B7" s="22" t="inlineStr">
        <is>
          <t>N-f</t>
        </is>
      </c>
      <c r="C7" s="22" t="inlineStr">
        <is>
          <t>N.FRA1</t>
        </is>
      </c>
      <c r="D7" s="23" t="n">
        <v>1</v>
      </c>
      <c r="E7" s="23">
        <f>COUNTIFS('04_Questions'!$A:$A,$A7,'04_Questions'!$F:$F,$B7,'04_Questions'!$C:$C,"A")</f>
        <v/>
      </c>
      <c r="F7" s="23" t="n">
        <v>1</v>
      </c>
      <c r="G7" s="23">
        <f>COUNTIFS('04_Questions'!$A:$A,$A7,'04_Questions'!$F:$F,$B7,'04_Questions'!$C:$C,"B")</f>
        <v/>
      </c>
      <c r="H7" s="23">
        <f>COUNTIFS('04_Questions'!$A:$A,$A7,'04_Questions'!$F:$F,$B7,'04_Questions'!$C:$C,"C")</f>
        <v/>
      </c>
      <c r="I7" s="23">
        <f>IF(AND(E7=D7,G7=F7),"OK","écart")</f>
        <v/>
      </c>
      <c r="J7" s="23">
        <f>IF(E7&gt;=1,IF(G7+H7&gt;=1,"OK","sans niveau 2"),IF(G7+H7&gt;=1,"sans niveau 1","non évaluée"))</f>
        <v/>
      </c>
      <c r="K7" s="22" t="n"/>
    </row>
    <row r="8">
      <c r="A8" s="20" t="inlineStr">
        <is>
          <t>6eme</t>
        </is>
      </c>
      <c r="B8" s="20" t="inlineStr">
        <is>
          <t>N-g</t>
        </is>
      </c>
      <c r="C8" s="20" t="inlineStr">
        <is>
          <t>N.PROB</t>
        </is>
      </c>
      <c r="D8" s="21" t="n">
        <v>1</v>
      </c>
      <c r="E8" s="21">
        <f>COUNTIFS('04_Questions'!$A:$A,$A8,'04_Questions'!$F:$F,$B8,'04_Questions'!$C:$C,"A")</f>
        <v/>
      </c>
      <c r="F8" s="21" t="n">
        <v>1</v>
      </c>
      <c r="G8" s="21">
        <f>COUNTIFS('04_Questions'!$A:$A,$A8,'04_Questions'!$F:$F,$B8,'04_Questions'!$C:$C,"B")</f>
        <v/>
      </c>
      <c r="H8" s="21">
        <f>COUNTIFS('04_Questions'!$A:$A,$A8,'04_Questions'!$F:$F,$B8,'04_Questions'!$C:$C,"C")</f>
        <v/>
      </c>
      <c r="I8" s="21">
        <f>IF(AND(E8=D8,G8=F8),"OK","écart")</f>
        <v/>
      </c>
      <c r="J8" s="21">
        <f>IF(E8&gt;=1,IF(G8+H8&gt;=1,"OK","sans niveau 2"),IF(G8+H8&gt;=1,"sans niveau 1","non évaluée"))</f>
        <v/>
      </c>
      <c r="K8" s="20" t="n"/>
    </row>
    <row r="9">
      <c r="A9" s="22" t="inlineStr">
        <is>
          <t>6eme</t>
        </is>
      </c>
      <c r="B9" s="22" t="inlineStr">
        <is>
          <t>M-a</t>
        </is>
      </c>
      <c r="C9" s="22" t="inlineStr">
        <is>
          <t>M.CONV</t>
        </is>
      </c>
      <c r="D9" s="23" t="n">
        <v>1</v>
      </c>
      <c r="E9" s="23">
        <f>COUNTIFS('04_Questions'!$A:$A,$A9,'04_Questions'!$F:$F,$B9,'04_Questions'!$C:$C,"A")</f>
        <v/>
      </c>
      <c r="F9" s="23" t="n">
        <v>0</v>
      </c>
      <c r="G9" s="23">
        <f>COUNTIFS('04_Questions'!$A:$A,$A9,'04_Questions'!$F:$F,$B9,'04_Questions'!$C:$C,"B")</f>
        <v/>
      </c>
      <c r="H9" s="23">
        <f>COUNTIFS('04_Questions'!$A:$A,$A9,'04_Questions'!$F:$F,$B9,'04_Questions'!$C:$C,"C")</f>
        <v/>
      </c>
      <c r="I9" s="23">
        <f>IF(AND(E9=D9,G9=F9),"OK","écart")</f>
        <v/>
      </c>
      <c r="J9" s="23">
        <f>IF(E9&gt;=1,IF(G9+H9&gt;=1,"OK","sans niveau 2"),IF(G9+H9&gt;=1,"sans niveau 1","non évaluée"))</f>
        <v/>
      </c>
      <c r="K9" s="22" t="n"/>
    </row>
    <row r="10">
      <c r="A10" s="20" t="inlineStr">
        <is>
          <t>6eme</t>
        </is>
      </c>
      <c r="B10" s="20" t="inlineStr">
        <is>
          <t>M-b</t>
        </is>
      </c>
      <c r="C10" s="20" t="inlineStr">
        <is>
          <t>M.PER</t>
        </is>
      </c>
      <c r="D10" s="21" t="n">
        <v>1</v>
      </c>
      <c r="E10" s="21">
        <f>COUNTIFS('04_Questions'!$A:$A,$A10,'04_Questions'!$F:$F,$B10,'04_Questions'!$C:$C,"A")</f>
        <v/>
      </c>
      <c r="F10" s="21" t="n">
        <v>1</v>
      </c>
      <c r="G10" s="21">
        <f>COUNTIFS('04_Questions'!$A:$A,$A10,'04_Questions'!$F:$F,$B10,'04_Questions'!$C:$C,"B")</f>
        <v/>
      </c>
      <c r="H10" s="21">
        <f>COUNTIFS('04_Questions'!$A:$A,$A10,'04_Questions'!$F:$F,$B10,'04_Questions'!$C:$C,"C")</f>
        <v/>
      </c>
      <c r="I10" s="21">
        <f>IF(AND(E10=D10,G10=F10),"OK","écart")</f>
        <v/>
      </c>
      <c r="J10" s="21">
        <f>IF(E10&gt;=1,IF(G10+H10&gt;=1,"OK","sans niveau 2"),IF(G10+H10&gt;=1,"sans niveau 1","non évaluée"))</f>
        <v/>
      </c>
      <c r="K10" s="20" t="n"/>
    </row>
    <row r="11">
      <c r="A11" s="22" t="inlineStr">
        <is>
          <t>6eme</t>
        </is>
      </c>
      <c r="B11" s="22" t="inlineStr">
        <is>
          <t>M-c</t>
        </is>
      </c>
      <c r="C11" s="22" t="inlineStr">
        <is>
          <t>M.AIRE</t>
        </is>
      </c>
      <c r="D11" s="23" t="n">
        <v>1</v>
      </c>
      <c r="E11" s="23">
        <f>COUNTIFS('04_Questions'!$A:$A,$A11,'04_Questions'!$F:$F,$B11,'04_Questions'!$C:$C,"A")</f>
        <v/>
      </c>
      <c r="F11" s="23" t="n">
        <v>1</v>
      </c>
      <c r="G11" s="23">
        <f>COUNTIFS('04_Questions'!$A:$A,$A11,'04_Questions'!$F:$F,$B11,'04_Questions'!$C:$C,"B")</f>
        <v/>
      </c>
      <c r="H11" s="23">
        <f>COUNTIFS('04_Questions'!$A:$A,$A11,'04_Questions'!$F:$F,$B11,'04_Questions'!$C:$C,"C")</f>
        <v/>
      </c>
      <c r="I11" s="23">
        <f>IF(AND(E11=D11,G11=F11),"OK","écart")</f>
        <v/>
      </c>
      <c r="J11" s="23">
        <f>IF(E11&gt;=1,IF(G11+H11&gt;=1,"OK","sans niveau 2"),IF(G11+H11&gt;=1,"sans niveau 1","non évaluée"))</f>
        <v/>
      </c>
      <c r="K11" s="22" t="n"/>
    </row>
    <row r="12">
      <c r="A12" s="20" t="inlineStr">
        <is>
          <t>6eme</t>
        </is>
      </c>
      <c r="B12" s="20" t="inlineStr">
        <is>
          <t>G-a</t>
        </is>
      </c>
      <c r="C12" s="20" t="inlineStr">
        <is>
          <t>G.VOC</t>
        </is>
      </c>
      <c r="D12" s="21" t="n">
        <v>1</v>
      </c>
      <c r="E12" s="21">
        <f>COUNTIFS('04_Questions'!$A:$A,$A12,'04_Questions'!$F:$F,$B12,'04_Questions'!$C:$C,"A")</f>
        <v/>
      </c>
      <c r="F12" s="21" t="n">
        <v>0</v>
      </c>
      <c r="G12" s="21">
        <f>COUNTIFS('04_Questions'!$A:$A,$A12,'04_Questions'!$F:$F,$B12,'04_Questions'!$C:$C,"B")</f>
        <v/>
      </c>
      <c r="H12" s="21">
        <f>COUNTIFS('04_Questions'!$A:$A,$A12,'04_Questions'!$F:$F,$B12,'04_Questions'!$C:$C,"C")</f>
        <v/>
      </c>
      <c r="I12" s="21">
        <f>IF(AND(E12=D12,G12=F12),"OK","écart")</f>
        <v/>
      </c>
      <c r="J12" s="21">
        <f>IF(E12&gt;=1,IF(G12+H12&gt;=1,"OK","sans niveau 2"),IF(G12+H12&gt;=1,"sans niveau 1","non évaluée"))</f>
        <v/>
      </c>
      <c r="K12" s="20" t="n"/>
    </row>
    <row r="13">
      <c r="A13" s="22" t="inlineStr">
        <is>
          <t>6eme</t>
        </is>
      </c>
      <c r="B13" s="22" t="inlineStr">
        <is>
          <t>G-b</t>
        </is>
      </c>
      <c r="C13" s="22" t="inlineStr">
        <is>
          <t>G.PARA</t>
        </is>
      </c>
      <c r="D13" s="23" t="n">
        <v>1</v>
      </c>
      <c r="E13" s="23">
        <f>COUNTIFS('04_Questions'!$A:$A,$A13,'04_Questions'!$F:$F,$B13,'04_Questions'!$C:$C,"A")</f>
        <v/>
      </c>
      <c r="F13" s="23" t="n">
        <v>1</v>
      </c>
      <c r="G13" s="23">
        <f>COUNTIFS('04_Questions'!$A:$A,$A13,'04_Questions'!$F:$F,$B13,'04_Questions'!$C:$C,"B")</f>
        <v/>
      </c>
      <c r="H13" s="23">
        <f>COUNTIFS('04_Questions'!$A:$A,$A13,'04_Questions'!$F:$F,$B13,'04_Questions'!$C:$C,"C")</f>
        <v/>
      </c>
      <c r="I13" s="23">
        <f>IF(AND(E13=D13,G13=F13),"OK","écart")</f>
        <v/>
      </c>
      <c r="J13" s="23">
        <f>IF(E13&gt;=1,IF(G13+H13&gt;=1,"OK","sans niveau 2"),IF(G13+H13&gt;=1,"sans niveau 1","non évaluée"))</f>
        <v/>
      </c>
      <c r="K13" s="22" t="n"/>
    </row>
    <row r="14">
      <c r="A14" s="20" t="inlineStr">
        <is>
          <t>6eme</t>
        </is>
      </c>
      <c r="B14" s="20" t="inlineStr">
        <is>
          <t>G-c</t>
        </is>
      </c>
      <c r="C14" s="20" t="inlineStr">
        <is>
          <t>G.FIG</t>
        </is>
      </c>
      <c r="D14" s="21" t="n">
        <v>1</v>
      </c>
      <c r="E14" s="21">
        <f>COUNTIFS('04_Questions'!$A:$A,$A14,'04_Questions'!$F:$F,$B14,'04_Questions'!$C:$C,"A")</f>
        <v/>
      </c>
      <c r="F14" s="21" t="n">
        <v>1</v>
      </c>
      <c r="G14" s="21">
        <f>COUNTIFS('04_Questions'!$A:$A,$A14,'04_Questions'!$F:$F,$B14,'04_Questions'!$C:$C,"B")</f>
        <v/>
      </c>
      <c r="H14" s="21">
        <f>COUNTIFS('04_Questions'!$A:$A,$A14,'04_Questions'!$F:$F,$B14,'04_Questions'!$C:$C,"C")</f>
        <v/>
      </c>
      <c r="I14" s="21">
        <f>IF(AND(E14=D14,G14=F14),"OK","écart")</f>
        <v/>
      </c>
      <c r="J14" s="21">
        <f>IF(E14&gt;=1,IF(G14+H14&gt;=1,"OK","sans niveau 2"),IF(G14+H14&gt;=1,"sans niveau 1","non évaluée"))</f>
        <v/>
      </c>
      <c r="K14" s="20" t="n"/>
    </row>
    <row r="15">
      <c r="A15" s="22" t="inlineStr">
        <is>
          <t>6eme</t>
        </is>
      </c>
      <c r="B15" s="22" t="inlineStr">
        <is>
          <t>G-d</t>
        </is>
      </c>
      <c r="C15" s="22" t="inlineStr">
        <is>
          <t>G.ANG1</t>
        </is>
      </c>
      <c r="D15" s="23" t="n">
        <v>1</v>
      </c>
      <c r="E15" s="23">
        <f>COUNTIFS('04_Questions'!$A:$A,$A15,'04_Questions'!$F:$F,$B15,'04_Questions'!$C:$C,"A")</f>
        <v/>
      </c>
      <c r="F15" s="23" t="n">
        <v>1</v>
      </c>
      <c r="G15" s="23">
        <f>COUNTIFS('04_Questions'!$A:$A,$A15,'04_Questions'!$F:$F,$B15,'04_Questions'!$C:$C,"B")</f>
        <v/>
      </c>
      <c r="H15" s="23">
        <f>COUNTIFS('04_Questions'!$A:$A,$A15,'04_Questions'!$F:$F,$B15,'04_Questions'!$C:$C,"C")</f>
        <v/>
      </c>
      <c r="I15" s="23">
        <f>IF(AND(E15=D15,G15=F15),"OK","écart")</f>
        <v/>
      </c>
      <c r="J15" s="23">
        <f>IF(E15&gt;=1,IF(G15+H15&gt;=1,"OK","sans niveau 2"),IF(G15+H15&gt;=1,"sans niveau 1","non évaluée"))</f>
        <v/>
      </c>
      <c r="K15" s="22" t="n"/>
    </row>
    <row r="16">
      <c r="A16" s="20" t="inlineStr">
        <is>
          <t>6eme</t>
        </is>
      </c>
      <c r="B16" s="20" t="inlineStr">
        <is>
          <t>D-a</t>
        </is>
      </c>
      <c r="C16" s="20" t="inlineStr">
        <is>
          <t>D.PROP</t>
        </is>
      </c>
      <c r="D16" s="21" t="n">
        <v>1</v>
      </c>
      <c r="E16" s="21">
        <f>COUNTIFS('04_Questions'!$A:$A,$A16,'04_Questions'!$F:$F,$B16,'04_Questions'!$C:$C,"A")</f>
        <v/>
      </c>
      <c r="F16" s="21" t="n">
        <v>1</v>
      </c>
      <c r="G16" s="21">
        <f>COUNTIFS('04_Questions'!$A:$A,$A16,'04_Questions'!$F:$F,$B16,'04_Questions'!$C:$C,"B")</f>
        <v/>
      </c>
      <c r="H16" s="21">
        <f>COUNTIFS('04_Questions'!$A:$A,$A16,'04_Questions'!$F:$F,$B16,'04_Questions'!$C:$C,"C")</f>
        <v/>
      </c>
      <c r="I16" s="21">
        <f>IF(AND(E16=D16,G16=F16),"OK","écart")</f>
        <v/>
      </c>
      <c r="J16" s="21">
        <f>IF(E16&gt;=1,IF(G16+H16&gt;=1,"OK","sans niveau 2"),IF(G16+H16&gt;=1,"sans niveau 1","non évaluée"))</f>
        <v/>
      </c>
      <c r="K16" s="20" t="n"/>
    </row>
    <row r="17">
      <c r="A17" s="22" t="inlineStr">
        <is>
          <t>6eme</t>
        </is>
      </c>
      <c r="B17" s="22" t="inlineStr">
        <is>
          <t>D-b</t>
        </is>
      </c>
      <c r="C17" s="22" t="inlineStr">
        <is>
          <t>D.TAB ; D.POUR</t>
        </is>
      </c>
      <c r="D17" s="23" t="n">
        <v>1</v>
      </c>
      <c r="E17" s="23">
        <f>COUNTIFS('04_Questions'!$A:$A,$A17,'04_Questions'!$F:$F,$B17,'04_Questions'!$C:$C,"A")</f>
        <v/>
      </c>
      <c r="F17" s="23" t="n">
        <v>0</v>
      </c>
      <c r="G17" s="23">
        <f>COUNTIFS('04_Questions'!$A:$A,$A17,'04_Questions'!$F:$F,$B17,'04_Questions'!$C:$C,"B")</f>
        <v/>
      </c>
      <c r="H17" s="23">
        <f>COUNTIFS('04_Questions'!$A:$A,$A17,'04_Questions'!$F:$F,$B17,'04_Questions'!$C:$C,"C")</f>
        <v/>
      </c>
      <c r="I17" s="23">
        <f>IF(AND(E17=D17,G17=F17),"OK","écart")</f>
        <v/>
      </c>
      <c r="J17" s="23">
        <f>IF(E17&gt;=1,IF(G17+H17&gt;=1,"OK","sans niveau 2"),IF(G17+H17&gt;=1,"sans niveau 1","non évaluée"))</f>
        <v/>
      </c>
      <c r="K17" s="22" t="n"/>
    </row>
    <row r="18">
      <c r="A18" s="20" t="inlineStr">
        <is>
          <t>5eme</t>
        </is>
      </c>
      <c r="B18" s="20" t="inlineStr">
        <is>
          <t>N-a</t>
        </is>
      </c>
      <c r="C18" s="20" t="inlineStr">
        <is>
          <t>N.NUM ; N.CMP</t>
        </is>
      </c>
      <c r="D18" s="21" t="n">
        <v>1</v>
      </c>
      <c r="E18" s="21">
        <f>COUNTIFS('04_Questions'!$A:$A,$A18,'04_Questions'!$F:$F,$B18,'04_Questions'!$C:$C,"A")</f>
        <v/>
      </c>
      <c r="F18" s="21" t="n">
        <v>0</v>
      </c>
      <c r="G18" s="21">
        <f>COUNTIFS('04_Questions'!$A:$A,$A18,'04_Questions'!$F:$F,$B18,'04_Questions'!$C:$C,"B")</f>
        <v/>
      </c>
      <c r="H18" s="21">
        <f>COUNTIFS('04_Questions'!$A:$A,$A18,'04_Questions'!$F:$F,$B18,'04_Questions'!$C:$C,"C")</f>
        <v/>
      </c>
      <c r="I18" s="21">
        <f>IF(AND(E18=D18,G18=F18),"OK","écart")</f>
        <v/>
      </c>
      <c r="J18" s="21">
        <f>IF(E18&gt;=1,IF(G18+H18&gt;=1,"OK","sans niveau 2"),IF(G18+H18&gt;=1,"sans niveau 1","non évaluée"))</f>
        <v/>
      </c>
      <c r="K18" s="20" t="n"/>
    </row>
    <row r="19">
      <c r="A19" s="22" t="inlineStr">
        <is>
          <t>5eme</t>
        </is>
      </c>
      <c r="B19" s="22" t="inlineStr">
        <is>
          <t>N-b</t>
        </is>
      </c>
      <c r="C19" s="22" t="inlineStr">
        <is>
          <t>N.PRIO</t>
        </is>
      </c>
      <c r="D19" s="23" t="n">
        <v>1</v>
      </c>
      <c r="E19" s="23">
        <f>COUNTIFS('04_Questions'!$A:$A,$A19,'04_Questions'!$F:$F,$B19,'04_Questions'!$C:$C,"A")</f>
        <v/>
      </c>
      <c r="F19" s="23" t="n">
        <v>1</v>
      </c>
      <c r="G19" s="23">
        <f>COUNTIFS('04_Questions'!$A:$A,$A19,'04_Questions'!$F:$F,$B19,'04_Questions'!$C:$C,"B")</f>
        <v/>
      </c>
      <c r="H19" s="23">
        <f>COUNTIFS('04_Questions'!$A:$A,$A19,'04_Questions'!$F:$F,$B19,'04_Questions'!$C:$C,"C")</f>
        <v/>
      </c>
      <c r="I19" s="23">
        <f>IF(AND(E19=D19,G19=F19),"OK","écart")</f>
        <v/>
      </c>
      <c r="J19" s="23">
        <f>IF(E19&gt;=1,IF(G19+H19&gt;=1,"OK","sans niveau 2"),IF(G19+H19&gt;=1,"sans niveau 1","non évaluée"))</f>
        <v/>
      </c>
      <c r="K19" s="22" t="n"/>
    </row>
    <row r="20">
      <c r="A20" s="20" t="inlineStr">
        <is>
          <t>5eme</t>
        </is>
      </c>
      <c r="B20" s="20" t="inlineStr">
        <is>
          <t>N-c</t>
        </is>
      </c>
      <c r="C20" s="20" t="inlineStr">
        <is>
          <t>N.AST</t>
        </is>
      </c>
      <c r="D20" s="21" t="n">
        <v>1</v>
      </c>
      <c r="E20" s="21">
        <f>COUNTIFS('04_Questions'!$A:$A,$A20,'04_Questions'!$F:$F,$B20,'04_Questions'!$C:$C,"A")</f>
        <v/>
      </c>
      <c r="F20" s="21" t="n">
        <v>0</v>
      </c>
      <c r="G20" s="21">
        <f>COUNTIFS('04_Questions'!$A:$A,$A20,'04_Questions'!$F:$F,$B20,'04_Questions'!$C:$C,"B")</f>
        <v/>
      </c>
      <c r="H20" s="21">
        <f>COUNTIFS('04_Questions'!$A:$A,$A20,'04_Questions'!$F:$F,$B20,'04_Questions'!$C:$C,"C")</f>
        <v/>
      </c>
      <c r="I20" s="21">
        <f>IF(AND(E20=D20,G20=F20),"OK","écart")</f>
        <v/>
      </c>
      <c r="J20" s="21">
        <f>IF(E20&gt;=1,IF(G20+H20&gt;=1,"OK","sans niveau 2"),IF(G20+H20&gt;=1,"sans niveau 1","non évaluée"))</f>
        <v/>
      </c>
      <c r="K20" s="20" t="n"/>
    </row>
    <row r="21">
      <c r="A21" s="22" t="inlineStr">
        <is>
          <t>5eme</t>
        </is>
      </c>
      <c r="B21" s="22" t="inlineStr">
        <is>
          <t>N-d</t>
        </is>
      </c>
      <c r="C21" s="22" t="inlineStr">
        <is>
          <t>N.FRA1</t>
        </is>
      </c>
      <c r="D21" s="23" t="n">
        <v>1</v>
      </c>
      <c r="E21" s="23">
        <f>COUNTIFS('04_Questions'!$A:$A,$A21,'04_Questions'!$F:$F,$B21,'04_Questions'!$C:$C,"A")</f>
        <v/>
      </c>
      <c r="F21" s="23" t="n">
        <v>1</v>
      </c>
      <c r="G21" s="23">
        <f>COUNTIFS('04_Questions'!$A:$A,$A21,'04_Questions'!$F:$F,$B21,'04_Questions'!$C:$C,"B")</f>
        <v/>
      </c>
      <c r="H21" s="23">
        <f>COUNTIFS('04_Questions'!$A:$A,$A21,'04_Questions'!$F:$F,$B21,'04_Questions'!$C:$C,"C")</f>
        <v/>
      </c>
      <c r="I21" s="23">
        <f>IF(AND(E21=D21,G21=F21),"OK","écart")</f>
        <v/>
      </c>
      <c r="J21" s="23">
        <f>IF(E21&gt;=1,IF(G21+H21&gt;=1,"OK","sans niveau 2"),IF(G21+H21&gt;=1,"sans niveau 1","non évaluée"))</f>
        <v/>
      </c>
      <c r="K21" s="22" t="n"/>
    </row>
    <row r="22">
      <c r="A22" s="20" t="inlineStr">
        <is>
          <t>5eme</t>
        </is>
      </c>
      <c r="B22" s="20" t="inlineStr">
        <is>
          <t>N-e</t>
        </is>
      </c>
      <c r="C22" s="20" t="inlineStr">
        <is>
          <t>N.REL</t>
        </is>
      </c>
      <c r="D22" s="21" t="n">
        <v>1</v>
      </c>
      <c r="E22" s="21">
        <f>COUNTIFS('04_Questions'!$A:$A,$A22,'04_Questions'!$F:$F,$B22,'04_Questions'!$C:$C,"A")</f>
        <v/>
      </c>
      <c r="F22" s="21" t="n">
        <v>1</v>
      </c>
      <c r="G22" s="21">
        <f>COUNTIFS('04_Questions'!$A:$A,$A22,'04_Questions'!$F:$F,$B22,'04_Questions'!$C:$C,"B")</f>
        <v/>
      </c>
      <c r="H22" s="21">
        <f>COUNTIFS('04_Questions'!$A:$A,$A22,'04_Questions'!$F:$F,$B22,'04_Questions'!$C:$C,"C")</f>
        <v/>
      </c>
      <c r="I22" s="21">
        <f>IF(AND(E22=D22,G22=F22),"OK","écart")</f>
        <v/>
      </c>
      <c r="J22" s="21">
        <f>IF(E22&gt;=1,IF(G22+H22&gt;=1,"OK","sans niveau 2"),IF(G22+H22&gt;=1,"sans niveau 1","non évaluée"))</f>
        <v/>
      </c>
      <c r="K22" s="20" t="n"/>
    </row>
    <row r="23">
      <c r="A23" s="22" t="inlineStr">
        <is>
          <t>5eme</t>
        </is>
      </c>
      <c r="B23" s="22" t="inlineStr">
        <is>
          <t>N-f</t>
        </is>
      </c>
      <c r="C23" s="22" t="inlineStr">
        <is>
          <t>N.EGT</t>
        </is>
      </c>
      <c r="D23" s="23" t="n">
        <v>1</v>
      </c>
      <c r="E23" s="23">
        <f>COUNTIFS('04_Questions'!$A:$A,$A23,'04_Questions'!$F:$F,$B23,'04_Questions'!$C:$C,"A")</f>
        <v/>
      </c>
      <c r="F23" s="23" t="n">
        <v>1</v>
      </c>
      <c r="G23" s="23">
        <f>COUNTIFS('04_Questions'!$A:$A,$A23,'04_Questions'!$F:$F,$B23,'04_Questions'!$C:$C,"B")</f>
        <v/>
      </c>
      <c r="H23" s="23">
        <f>COUNTIFS('04_Questions'!$A:$A,$A23,'04_Questions'!$F:$F,$B23,'04_Questions'!$C:$C,"C")</f>
        <v/>
      </c>
      <c r="I23" s="23">
        <f>IF(AND(E23=D23,G23=F23),"OK","écart")</f>
        <v/>
      </c>
      <c r="J23" s="23">
        <f>IF(E23&gt;=1,IF(G23+H23&gt;=1,"OK","sans niveau 2"),IF(G23+H23&gt;=1,"sans niveau 1","non évaluée"))</f>
        <v/>
      </c>
      <c r="K23" s="22" t="n"/>
    </row>
    <row r="24">
      <c r="A24" s="20" t="inlineStr">
        <is>
          <t>5eme</t>
        </is>
      </c>
      <c r="B24" s="20" t="inlineStr">
        <is>
          <t>M-a</t>
        </is>
      </c>
      <c r="C24" s="20" t="inlineStr">
        <is>
          <t>M.CONV ; M.PER</t>
        </is>
      </c>
      <c r="D24" s="21" t="n">
        <v>1</v>
      </c>
      <c r="E24" s="21">
        <f>COUNTIFS('04_Questions'!$A:$A,$A24,'04_Questions'!$F:$F,$B24,'04_Questions'!$C:$C,"A")</f>
        <v/>
      </c>
      <c r="F24" s="21" t="n">
        <v>1</v>
      </c>
      <c r="G24" s="21">
        <f>COUNTIFS('04_Questions'!$A:$A,$A24,'04_Questions'!$F:$F,$B24,'04_Questions'!$C:$C,"B")</f>
        <v/>
      </c>
      <c r="H24" s="21">
        <f>COUNTIFS('04_Questions'!$A:$A,$A24,'04_Questions'!$F:$F,$B24,'04_Questions'!$C:$C,"C")</f>
        <v/>
      </c>
      <c r="I24" s="21">
        <f>IF(AND(E24=D24,G24=F24),"OK","écart")</f>
        <v/>
      </c>
      <c r="J24" s="21">
        <f>IF(E24&gt;=1,IF(G24+H24&gt;=1,"OK","sans niveau 2"),IF(G24+H24&gt;=1,"sans niveau 1","non évaluée"))</f>
        <v/>
      </c>
      <c r="K24" s="20" t="n"/>
    </row>
    <row r="25">
      <c r="A25" s="22" t="inlineStr">
        <is>
          <t>5eme</t>
        </is>
      </c>
      <c r="B25" s="22" t="inlineStr">
        <is>
          <t>M-b</t>
        </is>
      </c>
      <c r="C25" s="22" t="inlineStr">
        <is>
          <t>M.AIRE</t>
        </is>
      </c>
      <c r="D25" s="23" t="n">
        <v>1</v>
      </c>
      <c r="E25" s="23">
        <f>COUNTIFS('04_Questions'!$A:$A,$A25,'04_Questions'!$F:$F,$B25,'04_Questions'!$C:$C,"A")</f>
        <v/>
      </c>
      <c r="F25" s="23" t="n">
        <v>1</v>
      </c>
      <c r="G25" s="23">
        <f>COUNTIFS('04_Questions'!$A:$A,$A25,'04_Questions'!$F:$F,$B25,'04_Questions'!$C:$C,"B")</f>
        <v/>
      </c>
      <c r="H25" s="23">
        <f>COUNTIFS('04_Questions'!$A:$A,$A25,'04_Questions'!$F:$F,$B25,'04_Questions'!$C:$C,"C")</f>
        <v/>
      </c>
      <c r="I25" s="23">
        <f>IF(AND(E25=D25,G25=F25),"OK","écart")</f>
        <v/>
      </c>
      <c r="J25" s="23">
        <f>IF(E25&gt;=1,IF(G25+H25&gt;=1,"OK","sans niveau 2"),IF(G25+H25&gt;=1,"sans niveau 1","non évaluée"))</f>
        <v/>
      </c>
      <c r="K25" s="22" t="n"/>
    </row>
    <row r="26">
      <c r="A26" s="20" t="inlineStr">
        <is>
          <t>5eme</t>
        </is>
      </c>
      <c r="B26" s="20" t="inlineStr">
        <is>
          <t>M-c</t>
        </is>
      </c>
      <c r="C26" s="20" t="inlineStr">
        <is>
          <t>M.VOL ; G.SOL1</t>
        </is>
      </c>
      <c r="D26" s="21" t="n">
        <v>1</v>
      </c>
      <c r="E26" s="21">
        <f>COUNTIFS('04_Questions'!$A:$A,$A26,'04_Questions'!$F:$F,$B26,'04_Questions'!$C:$C,"A")</f>
        <v/>
      </c>
      <c r="F26" s="21" t="n">
        <v>0</v>
      </c>
      <c r="G26" s="21">
        <f>COUNTIFS('04_Questions'!$A:$A,$A26,'04_Questions'!$F:$F,$B26,'04_Questions'!$C:$C,"B")</f>
        <v/>
      </c>
      <c r="H26" s="21">
        <f>COUNTIFS('04_Questions'!$A:$A,$A26,'04_Questions'!$F:$F,$B26,'04_Questions'!$C:$C,"C")</f>
        <v/>
      </c>
      <c r="I26" s="21">
        <f>IF(AND(E26=D26,G26=F26),"OK","écart")</f>
        <v/>
      </c>
      <c r="J26" s="21">
        <f>IF(E26&gt;=1,IF(G26+H26&gt;=1,"OK","sans niveau 2"),IF(G26+H26&gt;=1,"sans niveau 1","non évaluée"))</f>
        <v/>
      </c>
      <c r="K26" s="20" t="n"/>
    </row>
    <row r="27">
      <c r="A27" s="22" t="inlineStr">
        <is>
          <t>5eme</t>
        </is>
      </c>
      <c r="B27" s="22" t="inlineStr">
        <is>
          <t>G-a</t>
        </is>
      </c>
      <c r="C27" s="22" t="inlineStr">
        <is>
          <t>G.PARA ; G.VOC</t>
        </is>
      </c>
      <c r="D27" s="23" t="n">
        <v>1</v>
      </c>
      <c r="E27" s="23">
        <f>COUNTIFS('04_Questions'!$A:$A,$A27,'04_Questions'!$F:$F,$B27,'04_Questions'!$C:$C,"A")</f>
        <v/>
      </c>
      <c r="F27" s="23" t="n">
        <v>0</v>
      </c>
      <c r="G27" s="23">
        <f>COUNTIFS('04_Questions'!$A:$A,$A27,'04_Questions'!$F:$F,$B27,'04_Questions'!$C:$C,"B")</f>
        <v/>
      </c>
      <c r="H27" s="23">
        <f>COUNTIFS('04_Questions'!$A:$A,$A27,'04_Questions'!$F:$F,$B27,'04_Questions'!$C:$C,"C")</f>
        <v/>
      </c>
      <c r="I27" s="23">
        <f>IF(AND(E27=D27,G27=F27),"OK","écart")</f>
        <v/>
      </c>
      <c r="J27" s="23">
        <f>IF(E27&gt;=1,IF(G27+H27&gt;=1,"OK","sans niveau 2"),IF(G27+H27&gt;=1,"sans niveau 1","non évaluée"))</f>
        <v/>
      </c>
      <c r="K27" s="22" t="n"/>
    </row>
    <row r="28">
      <c r="A28" s="20" t="inlineStr">
        <is>
          <t>5eme</t>
        </is>
      </c>
      <c r="B28" s="20" t="inlineStr">
        <is>
          <t>G-b</t>
        </is>
      </c>
      <c r="C28" s="20" t="inlineStr">
        <is>
          <t>G.ANG1 ; G.ANG2</t>
        </is>
      </c>
      <c r="D28" s="21" t="n">
        <v>1</v>
      </c>
      <c r="E28" s="21">
        <f>COUNTIFS('04_Questions'!$A:$A,$A28,'04_Questions'!$F:$F,$B28,'04_Questions'!$C:$C,"A")</f>
        <v/>
      </c>
      <c r="F28" s="21" t="n">
        <v>1</v>
      </c>
      <c r="G28" s="21">
        <f>COUNTIFS('04_Questions'!$A:$A,$A28,'04_Questions'!$F:$F,$B28,'04_Questions'!$C:$C,"B")</f>
        <v/>
      </c>
      <c r="H28" s="21">
        <f>COUNTIFS('04_Questions'!$A:$A,$A28,'04_Questions'!$F:$F,$B28,'04_Questions'!$C:$C,"C")</f>
        <v/>
      </c>
      <c r="I28" s="21">
        <f>IF(AND(E28=D28,G28=F28),"OK","écart")</f>
        <v/>
      </c>
      <c r="J28" s="21">
        <f>IF(E28&gt;=1,IF(G28+H28&gt;=1,"OK","sans niveau 2"),IF(G28+H28&gt;=1,"sans niveau 1","non évaluée"))</f>
        <v/>
      </c>
      <c r="K28" s="20" t="n"/>
    </row>
    <row r="29">
      <c r="A29" s="22" t="inlineStr">
        <is>
          <t>5eme</t>
        </is>
      </c>
      <c r="B29" s="22" t="inlineStr">
        <is>
          <t>G-c</t>
        </is>
      </c>
      <c r="C29" s="22" t="inlineStr">
        <is>
          <t>G.TRI</t>
        </is>
      </c>
      <c r="D29" s="23" t="n">
        <v>1</v>
      </c>
      <c r="E29" s="23">
        <f>COUNTIFS('04_Questions'!$A:$A,$A29,'04_Questions'!$F:$F,$B29,'04_Questions'!$C:$C,"A")</f>
        <v/>
      </c>
      <c r="F29" s="23" t="n">
        <v>1</v>
      </c>
      <c r="G29" s="23">
        <f>COUNTIFS('04_Questions'!$A:$A,$A29,'04_Questions'!$F:$F,$B29,'04_Questions'!$C:$C,"B")</f>
        <v/>
      </c>
      <c r="H29" s="23">
        <f>COUNTIFS('04_Questions'!$A:$A,$A29,'04_Questions'!$F:$F,$B29,'04_Questions'!$C:$C,"C")</f>
        <v/>
      </c>
      <c r="I29" s="23">
        <f>IF(AND(E29=D29,G29=F29),"OK","écart")</f>
        <v/>
      </c>
      <c r="J29" s="23">
        <f>IF(E29&gt;=1,IF(G29+H29&gt;=1,"OK","sans niveau 2"),IF(G29+H29&gt;=1,"sans niveau 1","non évaluée"))</f>
        <v/>
      </c>
      <c r="K29" s="22" t="n"/>
    </row>
    <row r="30">
      <c r="A30" s="20" t="inlineStr">
        <is>
          <t>5eme</t>
        </is>
      </c>
      <c r="B30" s="20" t="inlineStr">
        <is>
          <t>G-d</t>
        </is>
      </c>
      <c r="C30" s="20" t="inlineStr">
        <is>
          <t>G.PARAL</t>
        </is>
      </c>
      <c r="D30" s="21" t="n">
        <v>1</v>
      </c>
      <c r="E30" s="21">
        <f>COUNTIFS('04_Questions'!$A:$A,$A30,'04_Questions'!$F:$F,$B30,'04_Questions'!$C:$C,"A")</f>
        <v/>
      </c>
      <c r="F30" s="21" t="n">
        <v>1</v>
      </c>
      <c r="G30" s="21">
        <f>COUNTIFS('04_Questions'!$A:$A,$A30,'04_Questions'!$F:$F,$B30,'04_Questions'!$C:$C,"B")</f>
        <v/>
      </c>
      <c r="H30" s="21">
        <f>COUNTIFS('04_Questions'!$A:$A,$A30,'04_Questions'!$F:$F,$B30,'04_Questions'!$C:$C,"C")</f>
        <v/>
      </c>
      <c r="I30" s="21">
        <f>IF(AND(E30=D30,G30=F30),"OK","écart")</f>
        <v/>
      </c>
      <c r="J30" s="21">
        <f>IF(E30&gt;=1,IF(G30+H30&gt;=1,"OK","sans niveau 2"),IF(G30+H30&gt;=1,"sans niveau 1","non évaluée"))</f>
        <v/>
      </c>
      <c r="K30" s="20" t="n"/>
    </row>
    <row r="31">
      <c r="A31" s="22" t="inlineStr">
        <is>
          <t>5eme</t>
        </is>
      </c>
      <c r="B31" s="22" t="inlineStr">
        <is>
          <t>G-e</t>
        </is>
      </c>
      <c r="C31" s="22" t="inlineStr">
        <is>
          <t>G.CERC ; G.MED ; G.SYMO</t>
        </is>
      </c>
      <c r="D31" s="23" t="n">
        <v>1</v>
      </c>
      <c r="E31" s="23">
        <f>COUNTIFS('04_Questions'!$A:$A,$A31,'04_Questions'!$F:$F,$B31,'04_Questions'!$C:$C,"A")</f>
        <v/>
      </c>
      <c r="F31" s="23" t="n">
        <v>1</v>
      </c>
      <c r="G31" s="23">
        <f>COUNTIFS('04_Questions'!$A:$A,$A31,'04_Questions'!$F:$F,$B31,'04_Questions'!$C:$C,"B")</f>
        <v/>
      </c>
      <c r="H31" s="23">
        <f>COUNTIFS('04_Questions'!$A:$A,$A31,'04_Questions'!$F:$F,$B31,'04_Questions'!$C:$C,"C")</f>
        <v/>
      </c>
      <c r="I31" s="23">
        <f>IF(AND(E31=D31,G31=F31),"OK","écart")</f>
        <v/>
      </c>
      <c r="J31" s="23">
        <f>IF(E31&gt;=1,IF(G31+H31&gt;=1,"OK","sans niveau 2"),IF(G31+H31&gt;=1,"sans niveau 1","non évaluée"))</f>
        <v/>
      </c>
      <c r="K31" s="22" t="n"/>
    </row>
    <row r="32">
      <c r="A32" s="20" t="inlineStr">
        <is>
          <t>5eme</t>
        </is>
      </c>
      <c r="B32" s="20" t="inlineStr">
        <is>
          <t>D-a</t>
        </is>
      </c>
      <c r="C32" s="20" t="inlineStr">
        <is>
          <t>D.PROP ; D.POUR</t>
        </is>
      </c>
      <c r="D32" s="21" t="n">
        <v>1</v>
      </c>
      <c r="E32" s="21">
        <f>COUNTIFS('04_Questions'!$A:$A,$A32,'04_Questions'!$F:$F,$B32,'04_Questions'!$C:$C,"A")</f>
        <v/>
      </c>
      <c r="F32" s="21" t="n">
        <v>1</v>
      </c>
      <c r="G32" s="21">
        <f>COUNTIFS('04_Questions'!$A:$A,$A32,'04_Questions'!$F:$F,$B32,'04_Questions'!$C:$C,"B")</f>
        <v/>
      </c>
      <c r="H32" s="21">
        <f>COUNTIFS('04_Questions'!$A:$A,$A32,'04_Questions'!$F:$F,$B32,'04_Questions'!$C:$C,"C")</f>
        <v/>
      </c>
      <c r="I32" s="21">
        <f>IF(AND(E32=D32,G32=F32),"OK","écart")</f>
        <v/>
      </c>
      <c r="J32" s="21">
        <f>IF(E32&gt;=1,IF(G32+H32&gt;=1,"OK","sans niveau 2"),IF(G32+H32&gt;=1,"sans niveau 1","non évaluée"))</f>
        <v/>
      </c>
      <c r="K32" s="20" t="n"/>
    </row>
    <row r="33">
      <c r="A33" s="22" t="inlineStr">
        <is>
          <t>5eme</t>
        </is>
      </c>
      <c r="B33" s="22" t="inlineStr">
        <is>
          <t>D-b</t>
        </is>
      </c>
      <c r="C33" s="22" t="inlineStr">
        <is>
          <t>G.REP ; F.REL</t>
        </is>
      </c>
      <c r="D33" s="23" t="n">
        <v>1</v>
      </c>
      <c r="E33" s="23">
        <f>COUNTIFS('04_Questions'!$A:$A,$A33,'04_Questions'!$F:$F,$B33,'04_Questions'!$C:$C,"A")</f>
        <v/>
      </c>
      <c r="F33" s="23" t="n">
        <v>0</v>
      </c>
      <c r="G33" s="23">
        <f>COUNTIFS('04_Questions'!$A:$A,$A33,'04_Questions'!$F:$F,$B33,'04_Questions'!$C:$C,"B")</f>
        <v/>
      </c>
      <c r="H33" s="23">
        <f>COUNTIFS('04_Questions'!$A:$A,$A33,'04_Questions'!$F:$F,$B33,'04_Questions'!$C:$C,"C")</f>
        <v/>
      </c>
      <c r="I33" s="23">
        <f>IF(AND(E33=D33,G33=F33),"OK","écart")</f>
        <v/>
      </c>
      <c r="J33" s="23">
        <f>IF(E33&gt;=1,IF(G33+H33&gt;=1,"OK","sans niveau 2"),IF(G33+H33&gt;=1,"sans niveau 1","non évaluée"))</f>
        <v/>
      </c>
      <c r="K33" s="22" t="n"/>
    </row>
    <row r="34">
      <c r="A34" s="20" t="inlineStr">
        <is>
          <t>4eme</t>
        </is>
      </c>
      <c r="B34" s="20" t="inlineStr">
        <is>
          <t>N-a</t>
        </is>
      </c>
      <c r="C34" s="20" t="inlineStr">
        <is>
          <t>N.DIVIS</t>
        </is>
      </c>
      <c r="D34" s="21" t="n">
        <v>1</v>
      </c>
      <c r="E34" s="21">
        <f>COUNTIFS('04_Questions'!$A:$A,$A34,'04_Questions'!$F:$F,$B34,'04_Questions'!$C:$C,"A")</f>
        <v/>
      </c>
      <c r="F34" s="21" t="n">
        <v>1</v>
      </c>
      <c r="G34" s="21">
        <f>COUNTIFS('04_Questions'!$A:$A,$A34,'04_Questions'!$F:$F,$B34,'04_Questions'!$C:$C,"B")</f>
        <v/>
      </c>
      <c r="H34" s="21">
        <f>COUNTIFS('04_Questions'!$A:$A,$A34,'04_Questions'!$F:$F,$B34,'04_Questions'!$C:$C,"C")</f>
        <v/>
      </c>
      <c r="I34" s="21">
        <f>IF(AND(E34=D34,G34=F34),"OK","écart")</f>
        <v/>
      </c>
      <c r="J34" s="21">
        <f>IF(E34&gt;=1,IF(G34+H34&gt;=1,"OK","sans niveau 2"),IF(G34+H34&gt;=1,"sans niveau 1","non évaluée"))</f>
        <v/>
      </c>
      <c r="K34" s="20" t="n"/>
    </row>
    <row r="35">
      <c r="A35" s="22" t="inlineStr">
        <is>
          <t>4eme</t>
        </is>
      </c>
      <c r="B35" s="22" t="inlineStr">
        <is>
          <t>N-b</t>
        </is>
      </c>
      <c r="C35" s="22" t="inlineStr">
        <is>
          <t>N.PGCD</t>
        </is>
      </c>
      <c r="D35" s="23" t="n">
        <v>1</v>
      </c>
      <c r="E35" s="23">
        <f>COUNTIFS('04_Questions'!$A:$A,$A35,'04_Questions'!$F:$F,$B35,'04_Questions'!$C:$C,"A")</f>
        <v/>
      </c>
      <c r="F35" s="23" t="n">
        <v>0</v>
      </c>
      <c r="G35" s="23">
        <f>COUNTIFS('04_Questions'!$A:$A,$A35,'04_Questions'!$F:$F,$B35,'04_Questions'!$C:$C,"B")</f>
        <v/>
      </c>
      <c r="H35" s="23">
        <f>COUNTIFS('04_Questions'!$A:$A,$A35,'04_Questions'!$F:$F,$B35,'04_Questions'!$C:$C,"C")</f>
        <v/>
      </c>
      <c r="I35" s="23">
        <f>IF(AND(E35=D35,G35=F35),"OK","écart")</f>
        <v/>
      </c>
      <c r="J35" s="23">
        <f>IF(E35&gt;=1,IF(G35+H35&gt;=1,"OK","sans niveau 2"),IF(G35+H35&gt;=1,"sans niveau 1","non évaluée"))</f>
        <v/>
      </c>
      <c r="K35" s="22" t="n"/>
    </row>
    <row r="36">
      <c r="A36" s="20" t="inlineStr">
        <is>
          <t>4eme</t>
        </is>
      </c>
      <c r="B36" s="20" t="inlineStr">
        <is>
          <t>N-c</t>
        </is>
      </c>
      <c r="C36" s="20" t="inlineStr">
        <is>
          <t>N.FRA2</t>
        </is>
      </c>
      <c r="D36" s="21" t="n">
        <v>1</v>
      </c>
      <c r="E36" s="21">
        <f>COUNTIFS('04_Questions'!$A:$A,$A36,'04_Questions'!$F:$F,$B36,'04_Questions'!$C:$C,"A")</f>
        <v/>
      </c>
      <c r="F36" s="21" t="n">
        <v>1</v>
      </c>
      <c r="G36" s="21">
        <f>COUNTIFS('04_Questions'!$A:$A,$A36,'04_Questions'!$F:$F,$B36,'04_Questions'!$C:$C,"B")</f>
        <v/>
      </c>
      <c r="H36" s="21">
        <f>COUNTIFS('04_Questions'!$A:$A,$A36,'04_Questions'!$F:$F,$B36,'04_Questions'!$C:$C,"C")</f>
        <v/>
      </c>
      <c r="I36" s="21">
        <f>IF(AND(E36=D36,G36=F36),"OK","écart")</f>
        <v/>
      </c>
      <c r="J36" s="21">
        <f>IF(E36&gt;=1,IF(G36+H36&gt;=1,"OK","sans niveau 2"),IF(G36+H36&gt;=1,"sans niveau 1","non évaluée"))</f>
        <v/>
      </c>
      <c r="K36" s="20" t="n"/>
    </row>
    <row r="37">
      <c r="A37" s="22" t="inlineStr">
        <is>
          <t>4eme</t>
        </is>
      </c>
      <c r="B37" s="22" t="inlineStr">
        <is>
          <t>N-d</t>
        </is>
      </c>
      <c r="C37" s="22" t="inlineStr">
        <is>
          <t>N.RELOP</t>
        </is>
      </c>
      <c r="D37" s="23" t="n">
        <v>1</v>
      </c>
      <c r="E37" s="23">
        <f>COUNTIFS('04_Questions'!$A:$A,$A37,'04_Questions'!$F:$F,$B37,'04_Questions'!$C:$C,"A")</f>
        <v/>
      </c>
      <c r="F37" s="23" t="n">
        <v>1</v>
      </c>
      <c r="G37" s="23">
        <f>COUNTIFS('04_Questions'!$A:$A,$A37,'04_Questions'!$F:$F,$B37,'04_Questions'!$C:$C,"B")</f>
        <v/>
      </c>
      <c r="H37" s="23">
        <f>COUNTIFS('04_Questions'!$A:$A,$A37,'04_Questions'!$F:$F,$B37,'04_Questions'!$C:$C,"C")</f>
        <v/>
      </c>
      <c r="I37" s="23">
        <f>IF(AND(E37=D37,G37=F37),"OK","écart")</f>
        <v/>
      </c>
      <c r="J37" s="23">
        <f>IF(E37&gt;=1,IF(G37+H37&gt;=1,"OK","sans niveau 2"),IF(G37+H37&gt;=1,"sans niveau 1","non évaluée"))</f>
        <v/>
      </c>
      <c r="K37" s="22" t="n"/>
    </row>
    <row r="38">
      <c r="A38" s="20" t="inlineStr">
        <is>
          <t>4eme</t>
        </is>
      </c>
      <c r="B38" s="20" t="inlineStr">
        <is>
          <t>N-e</t>
        </is>
      </c>
      <c r="C38" s="20" t="inlineStr">
        <is>
          <t>N.MULD ; L.DEV1</t>
        </is>
      </c>
      <c r="D38" s="21" t="n">
        <v>1</v>
      </c>
      <c r="E38" s="21">
        <f>COUNTIFS('04_Questions'!$A:$A,$A38,'04_Questions'!$F:$F,$B38,'04_Questions'!$C:$C,"A")</f>
        <v/>
      </c>
      <c r="F38" s="21" t="n">
        <v>1</v>
      </c>
      <c r="G38" s="21">
        <f>COUNTIFS('04_Questions'!$A:$A,$A38,'04_Questions'!$F:$F,$B38,'04_Questions'!$C:$C,"B")</f>
        <v/>
      </c>
      <c r="H38" s="21">
        <f>COUNTIFS('04_Questions'!$A:$A,$A38,'04_Questions'!$F:$F,$B38,'04_Questions'!$C:$C,"C")</f>
        <v/>
      </c>
      <c r="I38" s="21">
        <f>IF(AND(E38=D38,G38=F38),"OK","écart")</f>
        <v/>
      </c>
      <c r="J38" s="21">
        <f>IF(E38&gt;=1,IF(G38+H38&gt;=1,"OK","sans niveau 2"),IF(G38+H38&gt;=1,"sans niveau 1","non évaluée"))</f>
        <v/>
      </c>
      <c r="K38" s="20" t="n"/>
    </row>
    <row r="39">
      <c r="A39" s="22" t="inlineStr">
        <is>
          <t>4eme</t>
        </is>
      </c>
      <c r="B39" s="22" t="inlineStr">
        <is>
          <t>N-f</t>
        </is>
      </c>
      <c r="C39" s="22" t="inlineStr">
        <is>
          <t>N.PUI</t>
        </is>
      </c>
      <c r="D39" s="23" t="n">
        <v>1</v>
      </c>
      <c r="E39" s="23">
        <f>COUNTIFS('04_Questions'!$A:$A,$A39,'04_Questions'!$F:$F,$B39,'04_Questions'!$C:$C,"A")</f>
        <v/>
      </c>
      <c r="F39" s="23" t="n">
        <v>1</v>
      </c>
      <c r="G39" s="23">
        <f>COUNTIFS('04_Questions'!$A:$A,$A39,'04_Questions'!$F:$F,$B39,'04_Questions'!$C:$C,"B")</f>
        <v/>
      </c>
      <c r="H39" s="23">
        <f>COUNTIFS('04_Questions'!$A:$A,$A39,'04_Questions'!$F:$F,$B39,'04_Questions'!$C:$C,"C")</f>
        <v/>
      </c>
      <c r="I39" s="23">
        <f>IF(AND(E39=D39,G39=F39),"OK","écart")</f>
        <v/>
      </c>
      <c r="J39" s="23">
        <f>IF(E39&gt;=1,IF(G39+H39&gt;=1,"OK","sans niveau 2"),IF(G39+H39&gt;=1,"sans niveau 1","non évaluée"))</f>
        <v/>
      </c>
      <c r="K39" s="22" t="n"/>
    </row>
    <row r="40">
      <c r="A40" s="20" t="inlineStr">
        <is>
          <t>4eme</t>
        </is>
      </c>
      <c r="B40" s="20" t="inlineStr">
        <is>
          <t>N-g</t>
        </is>
      </c>
      <c r="C40" s="20" t="inlineStr">
        <is>
          <t>N.VAB</t>
        </is>
      </c>
      <c r="D40" s="21" t="n">
        <v>1</v>
      </c>
      <c r="E40" s="21">
        <f>COUNTIFS('04_Questions'!$A:$A,$A40,'04_Questions'!$F:$F,$B40,'04_Questions'!$C:$C,"A")</f>
        <v/>
      </c>
      <c r="F40" s="21" t="n">
        <v>0</v>
      </c>
      <c r="G40" s="21">
        <f>COUNTIFS('04_Questions'!$A:$A,$A40,'04_Questions'!$F:$F,$B40,'04_Questions'!$C:$C,"B")</f>
        <v/>
      </c>
      <c r="H40" s="21">
        <f>COUNTIFS('04_Questions'!$A:$A,$A40,'04_Questions'!$F:$F,$B40,'04_Questions'!$C:$C,"C")</f>
        <v/>
      </c>
      <c r="I40" s="21">
        <f>IF(AND(E40=D40,G40=F40),"OK","écart")</f>
        <v/>
      </c>
      <c r="J40" s="21">
        <f>IF(E40&gt;=1,IF(G40+H40&gt;=1,"OK","sans niveau 2"),IF(G40+H40&gt;=1,"sans niveau 1","non évaluée"))</f>
        <v/>
      </c>
      <c r="K40" s="20" t="n"/>
    </row>
    <row r="41">
      <c r="A41" s="22" t="inlineStr">
        <is>
          <t>4eme</t>
        </is>
      </c>
      <c r="B41" s="22" t="inlineStr">
        <is>
          <t>L-a</t>
        </is>
      </c>
      <c r="C41" s="22" t="inlineStr">
        <is>
          <t>L.EGA</t>
        </is>
      </c>
      <c r="D41" s="23" t="n">
        <v>1</v>
      </c>
      <c r="E41" s="23">
        <f>COUNTIFS('04_Questions'!$A:$A,$A41,'04_Questions'!$F:$F,$B41,'04_Questions'!$C:$C,"A")</f>
        <v/>
      </c>
      <c r="F41" s="23" t="n">
        <v>0</v>
      </c>
      <c r="G41" s="23">
        <f>COUNTIFS('04_Questions'!$A:$A,$A41,'04_Questions'!$F:$F,$B41,'04_Questions'!$C:$C,"B")</f>
        <v/>
      </c>
      <c r="H41" s="23">
        <f>COUNTIFS('04_Questions'!$A:$A,$A41,'04_Questions'!$F:$F,$B41,'04_Questions'!$C:$C,"C")</f>
        <v/>
      </c>
      <c r="I41" s="23">
        <f>IF(AND(E41=D41,G41=F41),"OK","écart")</f>
        <v/>
      </c>
      <c r="J41" s="23">
        <f>IF(E41&gt;=1,IF(G41+H41&gt;=1,"OK","sans niveau 2"),IF(G41+H41&gt;=1,"sans niveau 1","non évaluée"))</f>
        <v/>
      </c>
      <c r="K41" s="22" t="n"/>
    </row>
    <row r="42">
      <c r="A42" s="20" t="inlineStr">
        <is>
          <t>4eme</t>
        </is>
      </c>
      <c r="B42" s="20" t="inlineStr">
        <is>
          <t>L-b</t>
        </is>
      </c>
      <c r="C42" s="20" t="inlineStr">
        <is>
          <t>L.EQD</t>
        </is>
      </c>
      <c r="D42" s="21" t="n">
        <v>1</v>
      </c>
      <c r="E42" s="21">
        <f>COUNTIFS('04_Questions'!$A:$A,$A42,'04_Questions'!$F:$F,$B42,'04_Questions'!$C:$C,"A")</f>
        <v/>
      </c>
      <c r="F42" s="21" t="n">
        <v>1</v>
      </c>
      <c r="G42" s="21">
        <f>COUNTIFS('04_Questions'!$A:$A,$A42,'04_Questions'!$F:$F,$B42,'04_Questions'!$C:$C,"B")</f>
        <v/>
      </c>
      <c r="H42" s="21">
        <f>COUNTIFS('04_Questions'!$A:$A,$A42,'04_Questions'!$F:$F,$B42,'04_Questions'!$C:$C,"C")</f>
        <v/>
      </c>
      <c r="I42" s="21">
        <f>IF(AND(E42=D42,G42=F42),"OK","écart")</f>
        <v/>
      </c>
      <c r="J42" s="21">
        <f>IF(E42&gt;=1,IF(G42+H42&gt;=1,"OK","sans niveau 2"),IF(G42+H42&gt;=1,"sans niveau 1","non évaluée"))</f>
        <v/>
      </c>
      <c r="K42" s="20" t="n"/>
    </row>
    <row r="43">
      <c r="A43" s="22" t="inlineStr">
        <is>
          <t>4eme</t>
        </is>
      </c>
      <c r="B43" s="22" t="inlineStr">
        <is>
          <t>G-a</t>
        </is>
      </c>
      <c r="C43" s="22" t="inlineStr">
        <is>
          <t>G.SYMC</t>
        </is>
      </c>
      <c r="D43" s="23" t="n">
        <v>1</v>
      </c>
      <c r="E43" s="23">
        <f>COUNTIFS('04_Questions'!$A:$A,$A43,'04_Questions'!$F:$F,$B43,'04_Questions'!$C:$C,"A")</f>
        <v/>
      </c>
      <c r="F43" s="23" t="n">
        <v>1</v>
      </c>
      <c r="G43" s="23">
        <f>COUNTIFS('04_Questions'!$A:$A,$A43,'04_Questions'!$F:$F,$B43,'04_Questions'!$C:$C,"B")</f>
        <v/>
      </c>
      <c r="H43" s="23">
        <f>COUNTIFS('04_Questions'!$A:$A,$A43,'04_Questions'!$F:$F,$B43,'04_Questions'!$C:$C,"C")</f>
        <v/>
      </c>
      <c r="I43" s="23">
        <f>IF(AND(E43=D43,G43=F43),"OK","écart")</f>
        <v/>
      </c>
      <c r="J43" s="23">
        <f>IF(E43&gt;=1,IF(G43+H43&gt;=1,"OK","sans niveau 2"),IF(G43+H43&gt;=1,"sans niveau 1","non évaluée"))</f>
        <v/>
      </c>
      <c r="K43" s="22" t="n"/>
    </row>
    <row r="44">
      <c r="A44" s="20" t="inlineStr">
        <is>
          <t>4eme</t>
        </is>
      </c>
      <c r="B44" s="20" t="inlineStr">
        <is>
          <t>G-b</t>
        </is>
      </c>
      <c r="C44" s="20" t="inlineStr">
        <is>
          <t>G.ANG3</t>
        </is>
      </c>
      <c r="D44" s="21" t="n">
        <v>1</v>
      </c>
      <c r="E44" s="21">
        <f>COUNTIFS('04_Questions'!$A:$A,$A44,'04_Questions'!$F:$F,$B44,'04_Questions'!$C:$C,"A")</f>
        <v/>
      </c>
      <c r="F44" s="21" t="n">
        <v>1</v>
      </c>
      <c r="G44" s="21">
        <f>COUNTIFS('04_Questions'!$A:$A,$A44,'04_Questions'!$F:$F,$B44,'04_Questions'!$C:$C,"B")</f>
        <v/>
      </c>
      <c r="H44" s="21">
        <f>COUNTIFS('04_Questions'!$A:$A,$A44,'04_Questions'!$F:$F,$B44,'04_Questions'!$C:$C,"C")</f>
        <v/>
      </c>
      <c r="I44" s="21">
        <f>IF(AND(E44=D44,G44=F44),"OK","écart")</f>
        <v/>
      </c>
      <c r="J44" s="21">
        <f>IF(E44&gt;=1,IF(G44+H44&gt;=1,"OK","sans niveau 2"),IF(G44+H44&gt;=1,"sans niveau 1","non évaluée"))</f>
        <v/>
      </c>
      <c r="K44" s="20" t="n"/>
    </row>
    <row r="45">
      <c r="A45" s="22" t="inlineStr">
        <is>
          <t>4eme</t>
        </is>
      </c>
      <c r="B45" s="22" t="inlineStr">
        <is>
          <t>G-c</t>
        </is>
      </c>
      <c r="C45" s="22" t="inlineStr">
        <is>
          <t>G.TRIP</t>
        </is>
      </c>
      <c r="D45" s="23" t="n">
        <v>1</v>
      </c>
      <c r="E45" s="23">
        <f>COUNTIFS('04_Questions'!$A:$A,$A45,'04_Questions'!$F:$F,$B45,'04_Questions'!$C:$C,"A")</f>
        <v/>
      </c>
      <c r="F45" s="23" t="n">
        <v>1</v>
      </c>
      <c r="G45" s="23">
        <f>COUNTIFS('04_Questions'!$A:$A,$A45,'04_Questions'!$F:$F,$B45,'04_Questions'!$C:$C,"B")</f>
        <v/>
      </c>
      <c r="H45" s="23">
        <f>COUNTIFS('04_Questions'!$A:$A,$A45,'04_Questions'!$F:$F,$B45,'04_Questions'!$C:$C,"C")</f>
        <v/>
      </c>
      <c r="I45" s="23">
        <f>IF(AND(E45=D45,G45=F45),"OK","écart")</f>
        <v/>
      </c>
      <c r="J45" s="23">
        <f>IF(E45&gt;=1,IF(G45+H45&gt;=1,"OK","sans niveau 2"),IF(G45+H45&gt;=1,"sans niveau 1","non évaluée"))</f>
        <v/>
      </c>
      <c r="K45" s="22" t="n"/>
    </row>
    <row r="46">
      <c r="A46" s="20" t="inlineStr">
        <is>
          <t>4eme</t>
        </is>
      </c>
      <c r="B46" s="20" t="inlineStr">
        <is>
          <t>G-d</t>
        </is>
      </c>
      <c r="C46" s="20" t="inlineStr">
        <is>
          <t>G.SOL1 ; M.VOL</t>
        </is>
      </c>
      <c r="D46" s="21" t="n">
        <v>1</v>
      </c>
      <c r="E46" s="21">
        <f>COUNTIFS('04_Questions'!$A:$A,$A46,'04_Questions'!$F:$F,$B46,'04_Questions'!$C:$C,"A")</f>
        <v/>
      </c>
      <c r="F46" s="21" t="n">
        <v>1</v>
      </c>
      <c r="G46" s="21">
        <f>COUNTIFS('04_Questions'!$A:$A,$A46,'04_Questions'!$F:$F,$B46,'04_Questions'!$C:$C,"B")</f>
        <v/>
      </c>
      <c r="H46" s="21">
        <f>COUNTIFS('04_Questions'!$A:$A,$A46,'04_Questions'!$F:$F,$B46,'04_Questions'!$C:$C,"C")</f>
        <v/>
      </c>
      <c r="I46" s="21">
        <f>IF(AND(E46=D46,G46=F46),"OK","écart")</f>
        <v/>
      </c>
      <c r="J46" s="21">
        <f>IF(E46&gt;=1,IF(G46+H46&gt;=1,"OK","sans niveau 2"),IF(G46+H46&gt;=1,"sans niveau 1","non évaluée"))</f>
        <v/>
      </c>
      <c r="K46" s="20" t="n"/>
    </row>
    <row r="47">
      <c r="A47" s="22" t="inlineStr">
        <is>
          <t>4eme</t>
        </is>
      </c>
      <c r="B47" s="22" t="inlineStr">
        <is>
          <t>M-a</t>
        </is>
      </c>
      <c r="C47" s="22" t="inlineStr">
        <is>
          <t>M.MVD</t>
        </is>
      </c>
      <c r="D47" s="23" t="n">
        <v>1</v>
      </c>
      <c r="E47" s="23">
        <f>COUNTIFS('04_Questions'!$A:$A,$A47,'04_Questions'!$F:$F,$B47,'04_Questions'!$C:$C,"A")</f>
        <v/>
      </c>
      <c r="F47" s="23" t="n">
        <v>0</v>
      </c>
      <c r="G47" s="23">
        <f>COUNTIFS('04_Questions'!$A:$A,$A47,'04_Questions'!$F:$F,$B47,'04_Questions'!$C:$C,"B")</f>
        <v/>
      </c>
      <c r="H47" s="23">
        <f>COUNTIFS('04_Questions'!$A:$A,$A47,'04_Questions'!$F:$F,$B47,'04_Questions'!$C:$C,"C")</f>
        <v/>
      </c>
      <c r="I47" s="23">
        <f>IF(AND(E47=D47,G47=F47),"OK","écart")</f>
        <v/>
      </c>
      <c r="J47" s="23">
        <f>IF(E47&gt;=1,IF(G47+H47&gt;=1,"OK","sans niveau 2"),IF(G47+H47&gt;=1,"sans niveau 1","non évaluée"))</f>
        <v/>
      </c>
      <c r="K47" s="22" t="n"/>
    </row>
    <row r="48">
      <c r="A48" s="20" t="inlineStr">
        <is>
          <t>4eme</t>
        </is>
      </c>
      <c r="B48" s="20" t="inlineStr">
        <is>
          <t>M-b</t>
        </is>
      </c>
      <c r="C48" s="20" t="inlineStr">
        <is>
          <t>M.ECH</t>
        </is>
      </c>
      <c r="D48" s="21" t="n">
        <v>1</v>
      </c>
      <c r="E48" s="21">
        <f>COUNTIFS('04_Questions'!$A:$A,$A48,'04_Questions'!$F:$F,$B48,'04_Questions'!$C:$C,"A")</f>
        <v/>
      </c>
      <c r="F48" s="21" t="n">
        <v>0</v>
      </c>
      <c r="G48" s="21">
        <f>COUNTIFS('04_Questions'!$A:$A,$A48,'04_Questions'!$F:$F,$B48,'04_Questions'!$C:$C,"B")</f>
        <v/>
      </c>
      <c r="H48" s="21">
        <f>COUNTIFS('04_Questions'!$A:$A,$A48,'04_Questions'!$F:$F,$B48,'04_Questions'!$C:$C,"C")</f>
        <v/>
      </c>
      <c r="I48" s="21">
        <f>IF(AND(E48=D48,G48=F48),"OK","écart")</f>
        <v/>
      </c>
      <c r="J48" s="21">
        <f>IF(E48&gt;=1,IF(G48+H48&gt;=1,"OK","sans niveau 2"),IF(G48+H48&gt;=1,"sans niveau 1","non évaluée"))</f>
        <v/>
      </c>
      <c r="K48" s="20" t="n"/>
    </row>
    <row r="49">
      <c r="A49" s="22" t="inlineStr">
        <is>
          <t>4eme</t>
        </is>
      </c>
      <c r="B49" s="22" t="inlineStr">
        <is>
          <t>D-a</t>
        </is>
      </c>
      <c r="C49" s="22" t="inlineStr">
        <is>
          <t>D.PROP ; D.POUR</t>
        </is>
      </c>
      <c r="D49" s="23" t="n">
        <v>1</v>
      </c>
      <c r="E49" s="23">
        <f>COUNTIFS('04_Questions'!$A:$A,$A49,'04_Questions'!$F:$F,$B49,'04_Questions'!$C:$C,"A")</f>
        <v/>
      </c>
      <c r="F49" s="23" t="n">
        <v>1</v>
      </c>
      <c r="G49" s="23">
        <f>COUNTIFS('04_Questions'!$A:$A,$A49,'04_Questions'!$F:$F,$B49,'04_Questions'!$C:$C,"B")</f>
        <v/>
      </c>
      <c r="H49" s="23">
        <f>COUNTIFS('04_Questions'!$A:$A,$A49,'04_Questions'!$F:$F,$B49,'04_Questions'!$C:$C,"C")</f>
        <v/>
      </c>
      <c r="I49" s="23">
        <f>IF(AND(E49=D49,G49=F49),"OK","écart")</f>
        <v/>
      </c>
      <c r="J49" s="23">
        <f>IF(E49&gt;=1,IF(G49+H49&gt;=1,"OK","sans niveau 2"),IF(G49+H49&gt;=1,"sans niveau 1","non évaluée"))</f>
        <v/>
      </c>
      <c r="K49" s="22" t="n"/>
    </row>
    <row r="50">
      <c r="A50" s="20" t="inlineStr">
        <is>
          <t>3eme</t>
        </is>
      </c>
      <c r="B50" s="20" t="inlineStr">
        <is>
          <t>N-a</t>
        </is>
      </c>
      <c r="C50" s="20" t="inlineStr">
        <is>
          <t>N.ENS</t>
        </is>
      </c>
      <c r="D50" s="21" t="n">
        <v>1</v>
      </c>
      <c r="E50" s="21">
        <f>COUNTIFS('04_Questions'!$A:$A,$A50,'04_Questions'!$F:$F,$B50,'04_Questions'!$C:$C,"A")</f>
        <v/>
      </c>
      <c r="F50" s="21" t="n">
        <v>0</v>
      </c>
      <c r="G50" s="21">
        <f>COUNTIFS('04_Questions'!$A:$A,$A50,'04_Questions'!$F:$F,$B50,'04_Questions'!$C:$C,"B")</f>
        <v/>
      </c>
      <c r="H50" s="21">
        <f>COUNTIFS('04_Questions'!$A:$A,$A50,'04_Questions'!$F:$F,$B50,'04_Questions'!$C:$C,"C")</f>
        <v/>
      </c>
      <c r="I50" s="21">
        <f>IF(AND(E50=D50,G50=F50),"OK","écart")</f>
        <v/>
      </c>
      <c r="J50" s="21">
        <f>IF(E50&gt;=1,IF(G50+H50&gt;=1,"OK","sans niveau 2"),IF(G50+H50&gt;=1,"sans niveau 1","non évaluée"))</f>
        <v/>
      </c>
      <c r="K50" s="20" t="n"/>
    </row>
    <row r="51">
      <c r="A51" s="22" t="inlineStr">
        <is>
          <t>3eme</t>
        </is>
      </c>
      <c r="B51" s="22" t="inlineStr">
        <is>
          <t>N-b</t>
        </is>
      </c>
      <c r="C51" s="22" t="inlineStr">
        <is>
          <t>N.SCI</t>
        </is>
      </c>
      <c r="D51" s="23" t="n">
        <v>1</v>
      </c>
      <c r="E51" s="23">
        <f>COUNTIFS('04_Questions'!$A:$A,$A51,'04_Questions'!$F:$F,$B51,'04_Questions'!$C:$C,"A")</f>
        <v/>
      </c>
      <c r="F51" s="23" t="n">
        <v>1</v>
      </c>
      <c r="G51" s="23">
        <f>COUNTIFS('04_Questions'!$A:$A,$A51,'04_Questions'!$F:$F,$B51,'04_Questions'!$C:$C,"B")</f>
        <v/>
      </c>
      <c r="H51" s="23">
        <f>COUNTIFS('04_Questions'!$A:$A,$A51,'04_Questions'!$F:$F,$B51,'04_Questions'!$C:$C,"C")</f>
        <v/>
      </c>
      <c r="I51" s="23">
        <f>IF(AND(E51=D51,G51=F51),"OK","écart")</f>
        <v/>
      </c>
      <c r="J51" s="23">
        <f>IF(E51&gt;=1,IF(G51+H51&gt;=1,"OK","sans niveau 2"),IF(G51+H51&gt;=1,"sans niveau 1","non évaluée"))</f>
        <v/>
      </c>
      <c r="K51" s="22" t="n"/>
    </row>
    <row r="52">
      <c r="A52" s="20" t="inlineStr">
        <is>
          <t>3eme</t>
        </is>
      </c>
      <c r="B52" s="20" t="inlineStr">
        <is>
          <t>N-c</t>
        </is>
      </c>
      <c r="C52" s="20" t="inlineStr">
        <is>
          <t>N.RAT</t>
        </is>
      </c>
      <c r="D52" s="21" t="n">
        <v>1</v>
      </c>
      <c r="E52" s="21">
        <f>COUNTIFS('04_Questions'!$A:$A,$A52,'04_Questions'!$F:$F,$B52,'04_Questions'!$C:$C,"A")</f>
        <v/>
      </c>
      <c r="F52" s="21" t="n">
        <v>1</v>
      </c>
      <c r="G52" s="21">
        <f>COUNTIFS('04_Questions'!$A:$A,$A52,'04_Questions'!$F:$F,$B52,'04_Questions'!$C:$C,"B")</f>
        <v/>
      </c>
      <c r="H52" s="21">
        <f>COUNTIFS('04_Questions'!$A:$A,$A52,'04_Questions'!$F:$F,$B52,'04_Questions'!$C:$C,"C")</f>
        <v/>
      </c>
      <c r="I52" s="21">
        <f>IF(AND(E52=D52,G52=F52),"OK","écart")</f>
        <v/>
      </c>
      <c r="J52" s="21">
        <f>IF(E52&gt;=1,IF(G52+H52&gt;=1,"OK","sans niveau 2"),IF(G52+H52&gt;=1,"sans niveau 1","non évaluée"))</f>
        <v/>
      </c>
      <c r="K52" s="20" t="n"/>
    </row>
    <row r="53">
      <c r="A53" s="22" t="inlineStr">
        <is>
          <t>3eme</t>
        </is>
      </c>
      <c r="B53" s="22" t="inlineStr">
        <is>
          <t>N-d</t>
        </is>
      </c>
      <c r="C53" s="22" t="inlineStr">
        <is>
          <t>N.APP</t>
        </is>
      </c>
      <c r="D53" s="23" t="n">
        <v>1</v>
      </c>
      <c r="E53" s="23">
        <f>COUNTIFS('04_Questions'!$A:$A,$A53,'04_Questions'!$F:$F,$B53,'04_Questions'!$C:$C,"A")</f>
        <v/>
      </c>
      <c r="F53" s="23" t="n">
        <v>1</v>
      </c>
      <c r="G53" s="23">
        <f>COUNTIFS('04_Questions'!$A:$A,$A53,'04_Questions'!$F:$F,$B53,'04_Questions'!$C:$C,"B")</f>
        <v/>
      </c>
      <c r="H53" s="23">
        <f>COUNTIFS('04_Questions'!$A:$A,$A53,'04_Questions'!$F:$F,$B53,'04_Questions'!$C:$C,"C")</f>
        <v/>
      </c>
      <c r="I53" s="23">
        <f>IF(AND(E53=D53,G53=F53),"OK","écart")</f>
        <v/>
      </c>
      <c r="J53" s="23">
        <f>IF(E53&gt;=1,IF(G53+H53&gt;=1,"OK","sans niveau 2"),IF(G53+H53&gt;=1,"sans niveau 1","non évaluée"))</f>
        <v/>
      </c>
      <c r="K53" s="22" t="n"/>
    </row>
    <row r="54">
      <c r="A54" s="20" t="inlineStr">
        <is>
          <t>3eme</t>
        </is>
      </c>
      <c r="B54" s="20" t="inlineStr">
        <is>
          <t>L-a</t>
        </is>
      </c>
      <c r="C54" s="20" t="inlineStr">
        <is>
          <t>L.DEV1 ; L.IDR</t>
        </is>
      </c>
      <c r="D54" s="21" t="n">
        <v>1</v>
      </c>
      <c r="E54" s="21">
        <f>COUNTIFS('04_Questions'!$A:$A,$A54,'04_Questions'!$F:$F,$B54,'04_Questions'!$C:$C,"A")</f>
        <v/>
      </c>
      <c r="F54" s="21" t="n">
        <v>1</v>
      </c>
      <c r="G54" s="21">
        <f>COUNTIFS('04_Questions'!$A:$A,$A54,'04_Questions'!$F:$F,$B54,'04_Questions'!$C:$C,"B")</f>
        <v/>
      </c>
      <c r="H54" s="21">
        <f>COUNTIFS('04_Questions'!$A:$A,$A54,'04_Questions'!$F:$F,$B54,'04_Questions'!$C:$C,"C")</f>
        <v/>
      </c>
      <c r="I54" s="21">
        <f>IF(AND(E54=D54,G54=F54),"OK","écart")</f>
        <v/>
      </c>
      <c r="J54" s="21">
        <f>IF(E54&gt;=1,IF(G54+H54&gt;=1,"OK","sans niveau 2"),IF(G54+H54&gt;=1,"sans niveau 1","non évaluée"))</f>
        <v/>
      </c>
      <c r="K54" s="20" t="n"/>
    </row>
    <row r="55">
      <c r="A55" s="22" t="inlineStr">
        <is>
          <t>3eme</t>
        </is>
      </c>
      <c r="B55" s="22" t="inlineStr">
        <is>
          <t>L-b</t>
        </is>
      </c>
      <c r="C55" s="22" t="inlineStr">
        <is>
          <t>L.FAC1 ; L.FAC2</t>
        </is>
      </c>
      <c r="D55" s="23" t="n">
        <v>1</v>
      </c>
      <c r="E55" s="23">
        <f>COUNTIFS('04_Questions'!$A:$A,$A55,'04_Questions'!$F:$F,$B55,'04_Questions'!$C:$C,"A")</f>
        <v/>
      </c>
      <c r="F55" s="23" t="n">
        <v>1</v>
      </c>
      <c r="G55" s="23">
        <f>COUNTIFS('04_Questions'!$A:$A,$A55,'04_Questions'!$F:$F,$B55,'04_Questions'!$C:$C,"B")</f>
        <v/>
      </c>
      <c r="H55" s="23">
        <f>COUNTIFS('04_Questions'!$A:$A,$A55,'04_Questions'!$F:$F,$B55,'04_Questions'!$C:$C,"C")</f>
        <v/>
      </c>
      <c r="I55" s="23">
        <f>IF(AND(E55=D55,G55=F55),"OK","écart")</f>
        <v/>
      </c>
      <c r="J55" s="23">
        <f>IF(E55&gt;=1,IF(G55+H55&gt;=1,"OK","sans niveau 2"),IF(G55+H55&gt;=1,"sans niveau 1","non évaluée"))</f>
        <v/>
      </c>
      <c r="K55" s="22" t="n"/>
    </row>
    <row r="56">
      <c r="A56" s="20" t="inlineStr">
        <is>
          <t>3eme</t>
        </is>
      </c>
      <c r="B56" s="20" t="inlineStr">
        <is>
          <t>L-c</t>
        </is>
      </c>
      <c r="C56" s="20" t="inlineStr">
        <is>
          <t>L.EQ1 ; L.MISE</t>
        </is>
      </c>
      <c r="D56" s="21" t="n">
        <v>1</v>
      </c>
      <c r="E56" s="21">
        <f>COUNTIFS('04_Questions'!$A:$A,$A56,'04_Questions'!$F:$F,$B56,'04_Questions'!$C:$C,"A")</f>
        <v/>
      </c>
      <c r="F56" s="21" t="n">
        <v>1</v>
      </c>
      <c r="G56" s="21">
        <f>COUNTIFS('04_Questions'!$A:$A,$A56,'04_Questions'!$F:$F,$B56,'04_Questions'!$C:$C,"B")</f>
        <v/>
      </c>
      <c r="H56" s="21">
        <f>COUNTIFS('04_Questions'!$A:$A,$A56,'04_Questions'!$F:$F,$B56,'04_Questions'!$C:$C,"C")</f>
        <v/>
      </c>
      <c r="I56" s="21">
        <f>IF(AND(E56=D56,G56=F56),"OK","écart")</f>
        <v/>
      </c>
      <c r="J56" s="21">
        <f>IF(E56&gt;=1,IF(G56+H56&gt;=1,"OK","sans niveau 2"),IF(G56+H56&gt;=1,"sans niveau 1","non évaluée"))</f>
        <v/>
      </c>
      <c r="K56" s="20" t="n"/>
    </row>
    <row r="57">
      <c r="A57" s="22" t="inlineStr">
        <is>
          <t>3eme</t>
        </is>
      </c>
      <c r="B57" s="22" t="inlineStr">
        <is>
          <t>L-d</t>
        </is>
      </c>
      <c r="C57" s="22" t="inlineStr">
        <is>
          <t>L.INEQ1 ; L.MISE</t>
        </is>
      </c>
      <c r="D57" s="23" t="n">
        <v>1</v>
      </c>
      <c r="E57" s="23">
        <f>COUNTIFS('04_Questions'!$A:$A,$A57,'04_Questions'!$F:$F,$B57,'04_Questions'!$C:$C,"A")</f>
        <v/>
      </c>
      <c r="F57" s="23" t="n">
        <v>0</v>
      </c>
      <c r="G57" s="23">
        <f>COUNTIFS('04_Questions'!$A:$A,$A57,'04_Questions'!$F:$F,$B57,'04_Questions'!$C:$C,"B")</f>
        <v/>
      </c>
      <c r="H57" s="23">
        <f>COUNTIFS('04_Questions'!$A:$A,$A57,'04_Questions'!$F:$F,$B57,'04_Questions'!$C:$C,"C")</f>
        <v/>
      </c>
      <c r="I57" s="23">
        <f>IF(AND(E57=D57,G57=F57),"OK","écart")</f>
        <v/>
      </c>
      <c r="J57" s="23">
        <f>IF(E57&gt;=1,IF(G57+H57&gt;=1,"OK","sans niveau 2"),IF(G57+H57&gt;=1,"sans niveau 1","non évaluée"))</f>
        <v/>
      </c>
      <c r="K57" s="22" t="n"/>
    </row>
    <row r="58">
      <c r="A58" s="20" t="inlineStr">
        <is>
          <t>3eme</t>
        </is>
      </c>
      <c r="B58" s="20" t="inlineStr">
        <is>
          <t>G-a</t>
        </is>
      </c>
      <c r="C58" s="20" t="inlineStr">
        <is>
          <t>G.ABS</t>
        </is>
      </c>
      <c r="D58" s="21" t="n">
        <v>1</v>
      </c>
      <c r="E58" s="21">
        <f>COUNTIFS('04_Questions'!$A:$A,$A58,'04_Questions'!$F:$F,$B58,'04_Questions'!$C:$C,"A")</f>
        <v/>
      </c>
      <c r="F58" s="21" t="n">
        <v>0</v>
      </c>
      <c r="G58" s="21">
        <f>COUNTIFS('04_Questions'!$A:$A,$A58,'04_Questions'!$F:$F,$B58,'04_Questions'!$C:$C,"B")</f>
        <v/>
      </c>
      <c r="H58" s="21">
        <f>COUNTIFS('04_Questions'!$A:$A,$A58,'04_Questions'!$F:$F,$B58,'04_Questions'!$C:$C,"C")</f>
        <v/>
      </c>
      <c r="I58" s="21">
        <f>IF(AND(E58=D58,G58=F58),"OK","écart")</f>
        <v/>
      </c>
      <c r="J58" s="21">
        <f>IF(E58&gt;=1,IF(G58+H58&gt;=1,"OK","sans niveau 2"),IF(G58+H58&gt;=1,"sans niveau 1","non évaluée"))</f>
        <v/>
      </c>
      <c r="K58" s="20" t="inlineStr">
        <is>
          <t>Matrice 3ème, arbitrage 3 : G-a évaluée au seul niveau 1 (G1), faute de place en B et en C.</t>
        </is>
      </c>
    </row>
    <row r="59">
      <c r="A59" s="22" t="inlineStr">
        <is>
          <t>3eme</t>
        </is>
      </c>
      <c r="B59" s="22" t="inlineStr">
        <is>
          <t>G-b</t>
        </is>
      </c>
      <c r="C59" s="22" t="inlineStr">
        <is>
          <t>G.REP</t>
        </is>
      </c>
      <c r="D59" s="23" t="n">
        <v>1</v>
      </c>
      <c r="E59" s="23">
        <f>COUNTIFS('04_Questions'!$A:$A,$A59,'04_Questions'!$F:$F,$B59,'04_Questions'!$C:$C,"A")</f>
        <v/>
      </c>
      <c r="F59" s="23" t="n">
        <v>0</v>
      </c>
      <c r="G59" s="23">
        <f>COUNTIFS('04_Questions'!$A:$A,$A59,'04_Questions'!$F:$F,$B59,'04_Questions'!$C:$C,"B")</f>
        <v/>
      </c>
      <c r="H59" s="23">
        <f>COUNTIFS('04_Questions'!$A:$A,$A59,'04_Questions'!$F:$F,$B59,'04_Questions'!$C:$C,"C")</f>
        <v/>
      </c>
      <c r="I59" s="23">
        <f>IF(AND(E59=D59,G59=F59),"OK","écart")</f>
        <v/>
      </c>
      <c r="J59" s="23">
        <f>IF(E59&gt;=1,IF(G59+H59&gt;=1,"OK","sans niveau 2"),IF(G59+H59&gt;=1,"sans niveau 1","non évaluée"))</f>
        <v/>
      </c>
      <c r="K59" s="22" t="n"/>
    </row>
    <row r="60">
      <c r="A60" s="20" t="inlineStr">
        <is>
          <t>3eme</t>
        </is>
      </c>
      <c r="B60" s="20" t="inlineStr">
        <is>
          <t>G-c</t>
        </is>
      </c>
      <c r="C60" s="20" t="inlineStr">
        <is>
          <t>G.VEC</t>
        </is>
      </c>
      <c r="D60" s="21" t="n">
        <v>1</v>
      </c>
      <c r="E60" s="21">
        <f>COUNTIFS('04_Questions'!$A:$A,$A60,'04_Questions'!$F:$F,$B60,'04_Questions'!$C:$C,"A")</f>
        <v/>
      </c>
      <c r="F60" s="21" t="n">
        <v>1</v>
      </c>
      <c r="G60" s="21">
        <f>COUNTIFS('04_Questions'!$A:$A,$A60,'04_Questions'!$F:$F,$B60,'04_Questions'!$C:$C,"B")</f>
        <v/>
      </c>
      <c r="H60" s="21">
        <f>COUNTIFS('04_Questions'!$A:$A,$A60,'04_Questions'!$F:$F,$B60,'04_Questions'!$C:$C,"C")</f>
        <v/>
      </c>
      <c r="I60" s="21">
        <f>IF(AND(E60=D60,G60=F60),"OK","écart")</f>
        <v/>
      </c>
      <c r="J60" s="21">
        <f>IF(E60&gt;=1,IF(G60+H60&gt;=1,"OK","sans niveau 2"),IF(G60+H60&gt;=1,"sans niveau 1","non évaluée"))</f>
        <v/>
      </c>
      <c r="K60" s="20" t="n"/>
    </row>
    <row r="61">
      <c r="A61" s="22" t="inlineStr">
        <is>
          <t>3eme</t>
        </is>
      </c>
      <c r="B61" s="22" t="inlineStr">
        <is>
          <t>G-d</t>
        </is>
      </c>
      <c r="C61" s="22" t="inlineStr">
        <is>
          <t>G.PROJ</t>
        </is>
      </c>
      <c r="D61" s="23" t="n">
        <v>1</v>
      </c>
      <c r="E61" s="23">
        <f>COUNTIFS('04_Questions'!$A:$A,$A61,'04_Questions'!$F:$F,$B61,'04_Questions'!$C:$C,"A")</f>
        <v/>
      </c>
      <c r="F61" s="23" t="n">
        <v>1</v>
      </c>
      <c r="G61" s="23">
        <f>COUNTIFS('04_Questions'!$A:$A,$A61,'04_Questions'!$F:$F,$B61,'04_Questions'!$C:$C,"B")</f>
        <v/>
      </c>
      <c r="H61" s="23">
        <f>COUNTIFS('04_Questions'!$A:$A,$A61,'04_Questions'!$F:$F,$B61,'04_Questions'!$C:$C,"C")</f>
        <v/>
      </c>
      <c r="I61" s="23">
        <f>IF(AND(E61=D61,G61=F61),"OK","écart")</f>
        <v/>
      </c>
      <c r="J61" s="23">
        <f>IF(E61&gt;=1,IF(G61+H61&gt;=1,"OK","sans niveau 2"),IF(G61+H61&gt;=1,"sans niveau 1","non évaluée"))</f>
        <v/>
      </c>
      <c r="K61" s="22" t="n"/>
    </row>
    <row r="62">
      <c r="A62" s="20" t="inlineStr">
        <is>
          <t>3eme</t>
        </is>
      </c>
      <c r="B62" s="20" t="inlineStr">
        <is>
          <t>G-e</t>
        </is>
      </c>
      <c r="C62" s="20" t="inlineStr">
        <is>
          <t>G.TRANS</t>
        </is>
      </c>
      <c r="D62" s="21" t="n">
        <v>1</v>
      </c>
      <c r="E62" s="21">
        <f>COUNTIFS('04_Questions'!$A:$A,$A62,'04_Questions'!$F:$F,$B62,'04_Questions'!$C:$C,"A")</f>
        <v/>
      </c>
      <c r="F62" s="21" t="n">
        <v>0</v>
      </c>
      <c r="G62" s="21">
        <f>COUNTIFS('04_Questions'!$A:$A,$A62,'04_Questions'!$F:$F,$B62,'04_Questions'!$C:$C,"B")</f>
        <v/>
      </c>
      <c r="H62" s="21">
        <f>COUNTIFS('04_Questions'!$A:$A,$A62,'04_Questions'!$F:$F,$B62,'04_Questions'!$C:$C,"C")</f>
        <v/>
      </c>
      <c r="I62" s="21">
        <f>IF(AND(E62=D62,G62=F62),"OK","écart")</f>
        <v/>
      </c>
      <c r="J62" s="21">
        <f>IF(E62&gt;=1,IF(G62+H62&gt;=1,"OK","sans niveau 2"),IF(G62+H62&gt;=1,"sans niveau 1","non évaluée"))</f>
        <v/>
      </c>
      <c r="K62" s="20" t="n"/>
    </row>
    <row r="63">
      <c r="A63" s="22" t="inlineStr">
        <is>
          <t>3eme</t>
        </is>
      </c>
      <c r="B63" s="22" t="inlineStr">
        <is>
          <t>G-f</t>
        </is>
      </c>
      <c r="C63" s="22" t="inlineStr">
        <is>
          <t>G.POLY</t>
        </is>
      </c>
      <c r="D63" s="23" t="n">
        <v>1</v>
      </c>
      <c r="E63" s="23">
        <f>COUNTIFS('04_Questions'!$A:$A,$A63,'04_Questions'!$F:$F,$B63,'04_Questions'!$C:$C,"A")</f>
        <v/>
      </c>
      <c r="F63" s="23" t="n">
        <v>0</v>
      </c>
      <c r="G63" s="23">
        <f>COUNTIFS('04_Questions'!$A:$A,$A63,'04_Questions'!$F:$F,$B63,'04_Questions'!$C:$C,"B")</f>
        <v/>
      </c>
      <c r="H63" s="23">
        <f>COUNTIFS('04_Questions'!$A:$A,$A63,'04_Questions'!$F:$F,$B63,'04_Questions'!$C:$C,"C")</f>
        <v/>
      </c>
      <c r="I63" s="23">
        <f>IF(AND(E63=D63,G63=F63),"OK","écart")</f>
        <v/>
      </c>
      <c r="J63" s="23">
        <f>IF(E63&gt;=1,IF(G63+H63&gt;=1,"OK","sans niveau 2"),IF(G63+H63&gt;=1,"sans niveau 1","non évaluée"))</f>
        <v/>
      </c>
      <c r="K63" s="22" t="n"/>
    </row>
    <row r="64">
      <c r="A64" s="20" t="inlineStr">
        <is>
          <t>3eme</t>
        </is>
      </c>
      <c r="B64" s="20" t="inlineStr">
        <is>
          <t>F-a</t>
        </is>
      </c>
      <c r="C64" s="20" t="inlineStr">
        <is>
          <t>F.APP</t>
        </is>
      </c>
      <c r="D64" s="21" t="n">
        <v>0</v>
      </c>
      <c r="E64" s="21">
        <f>COUNTIFS('04_Questions'!$A:$A,$A64,'04_Questions'!$F:$F,$B64,'04_Questions'!$C:$C,"A")</f>
        <v/>
      </c>
      <c r="F64" s="21" t="n">
        <v>1</v>
      </c>
      <c r="G64" s="21">
        <f>COUNTIFS('04_Questions'!$A:$A,$A64,'04_Questions'!$F:$F,$B64,'04_Questions'!$C:$C,"B")</f>
        <v/>
      </c>
      <c r="H64" s="21">
        <f>COUNTIFS('04_Questions'!$A:$A,$A64,'04_Questions'!$F:$F,$B64,'04_Questions'!$C:$C,"C")</f>
        <v/>
      </c>
      <c r="I64" s="21">
        <f>IF(AND(E64=D64,G64=F64),"OK","écart")</f>
        <v/>
      </c>
      <c r="J64" s="21">
        <f>IF(E64&gt;=1,IF(G64+H64&gt;=1,"OK","sans niveau 2"),IF(G64+H64&gt;=1,"sans niveau 1","non évaluée"))</f>
        <v/>
      </c>
      <c r="K64" s="20" t="inlineStr">
        <is>
          <t>Matrice 3ème : 17 compétences pour 16 places en partie A ; F-a évaluée aux niveaux 2 (F1) et 3 (P3).</t>
        </is>
      </c>
    </row>
    <row r="65">
      <c r="A65" s="22" t="inlineStr">
        <is>
          <t>3eme</t>
        </is>
      </c>
      <c r="B65" s="22" t="inlineStr">
        <is>
          <t>D-a</t>
        </is>
      </c>
      <c r="C65" s="22" t="inlineStr">
        <is>
          <t>D.STAT1</t>
        </is>
      </c>
      <c r="D65" s="23" t="n">
        <v>1</v>
      </c>
      <c r="E65" s="23">
        <f>COUNTIFS('04_Questions'!$A:$A,$A65,'04_Questions'!$F:$F,$B65,'04_Questions'!$C:$C,"A")</f>
        <v/>
      </c>
      <c r="F65" s="23" t="n">
        <v>1</v>
      </c>
      <c r="G65" s="23">
        <f>COUNTIFS('04_Questions'!$A:$A,$A65,'04_Questions'!$F:$F,$B65,'04_Questions'!$C:$C,"B")</f>
        <v/>
      </c>
      <c r="H65" s="23">
        <f>COUNTIFS('04_Questions'!$A:$A,$A65,'04_Questions'!$F:$F,$B65,'04_Questions'!$C:$C,"C")</f>
        <v/>
      </c>
      <c r="I65" s="23">
        <f>IF(AND(E65=D65,G65=F65),"OK","écart")</f>
        <v/>
      </c>
      <c r="J65" s="23">
        <f>IF(E65&gt;=1,IF(G65+H65&gt;=1,"OK","sans niveau 2"),IF(G65+H65&gt;=1,"sans niveau 1","non évaluée"))</f>
        <v/>
      </c>
      <c r="K65" s="22" t="n"/>
    </row>
    <row r="66">
      <c r="A66" s="20" t="inlineStr">
        <is>
          <t>3eme</t>
        </is>
      </c>
      <c r="B66" s="20" t="inlineStr">
        <is>
          <t>D-b</t>
        </is>
      </c>
      <c r="C66" s="20" t="inlineStr">
        <is>
          <t>D.PROP ; D.POUR ; M.ECH</t>
        </is>
      </c>
      <c r="D66" s="21" t="n">
        <v>1</v>
      </c>
      <c r="E66" s="21">
        <f>COUNTIFS('04_Questions'!$A:$A,$A66,'04_Questions'!$F:$F,$B66,'04_Questions'!$C:$C,"A")</f>
        <v/>
      </c>
      <c r="F66" s="21" t="n">
        <v>1</v>
      </c>
      <c r="G66" s="21">
        <f>COUNTIFS('04_Questions'!$A:$A,$A66,'04_Questions'!$F:$F,$B66,'04_Questions'!$C:$C,"B")</f>
        <v/>
      </c>
      <c r="H66" s="21">
        <f>COUNTIFS('04_Questions'!$A:$A,$A66,'04_Questions'!$F:$F,$B66,'04_Questions'!$C:$C,"C")</f>
        <v/>
      </c>
      <c r="I66" s="21">
        <f>IF(AND(E66=D66,G66=F66),"OK","écart")</f>
        <v/>
      </c>
      <c r="J66" s="21">
        <f>IF(E66&gt;=1,IF(G66+H66&gt;=1,"OK","sans niveau 2"),IF(G66+H66&gt;=1,"sans niveau 1","non évaluée"))</f>
        <v/>
      </c>
      <c r="K66" s="20" t="n"/>
    </row>
    <row r="67">
      <c r="A67" s="22" t="inlineStr">
        <is>
          <t>2ndeC</t>
        </is>
      </c>
      <c r="B67" s="22" t="inlineStr">
        <is>
          <t>N-a</t>
        </is>
      </c>
      <c r="C67" s="22" t="inlineStr">
        <is>
          <t>N.RAT ; N.PRIO</t>
        </is>
      </c>
      <c r="D67" s="23" t="n">
        <v>1</v>
      </c>
      <c r="E67" s="23">
        <f>COUNTIFS('04_Questions'!$A:$A,$A67,'04_Questions'!$F:$F,$B67,'04_Questions'!$C:$C,"A")</f>
        <v/>
      </c>
      <c r="F67" s="23" t="n">
        <v>0</v>
      </c>
      <c r="G67" s="23">
        <f>COUNTIFS('04_Questions'!$A:$A,$A67,'04_Questions'!$F:$F,$B67,'04_Questions'!$C:$C,"B")</f>
        <v/>
      </c>
      <c r="H67" s="23">
        <f>COUNTIFS('04_Questions'!$A:$A,$A67,'04_Questions'!$F:$F,$B67,'04_Questions'!$C:$C,"C")</f>
        <v/>
      </c>
      <c r="I67" s="23">
        <f>IF(AND(E67=D67,G67=F67),"OK","écart")</f>
        <v/>
      </c>
      <c r="J67" s="23">
        <f>IF(E67&gt;=1,IF(G67+H67&gt;=1,"OK","sans niveau 2"),IF(G67+H67&gt;=1,"sans niveau 1","non évaluée"))</f>
        <v/>
      </c>
      <c r="K67" s="22" t="n"/>
    </row>
    <row r="68">
      <c r="A68" s="20" t="inlineStr">
        <is>
          <t>2ndeC</t>
        </is>
      </c>
      <c r="B68" s="20" t="inlineStr">
        <is>
          <t>N-b</t>
        </is>
      </c>
      <c r="C68" s="20" t="inlineStr">
        <is>
          <t>N.PUI ; N.SCI</t>
        </is>
      </c>
      <c r="D68" s="21" t="n">
        <v>1</v>
      </c>
      <c r="E68" s="21">
        <f>COUNTIFS('04_Questions'!$A:$A,$A68,'04_Questions'!$F:$F,$B68,'04_Questions'!$C:$C,"A")</f>
        <v/>
      </c>
      <c r="F68" s="21" t="n">
        <v>0</v>
      </c>
      <c r="G68" s="21">
        <f>COUNTIFS('04_Questions'!$A:$A,$A68,'04_Questions'!$F:$F,$B68,'04_Questions'!$C:$C,"B")</f>
        <v/>
      </c>
      <c r="H68" s="21">
        <f>COUNTIFS('04_Questions'!$A:$A,$A68,'04_Questions'!$F:$F,$B68,'04_Questions'!$C:$C,"C")</f>
        <v/>
      </c>
      <c r="I68" s="21">
        <f>IF(AND(E68=D68,G68=F68),"OK","écart")</f>
        <v/>
      </c>
      <c r="J68" s="21">
        <f>IF(E68&gt;=1,IF(G68+H68&gt;=1,"OK","sans niveau 2"),IF(G68+H68&gt;=1,"sans niveau 1","non évaluée"))</f>
        <v/>
      </c>
      <c r="K68" s="20" t="n"/>
    </row>
    <row r="69">
      <c r="A69" s="22" t="inlineStr">
        <is>
          <t>2ndeC</t>
        </is>
      </c>
      <c r="B69" s="22" t="inlineStr">
        <is>
          <t>N-c</t>
        </is>
      </c>
      <c r="C69" s="22" t="inlineStr">
        <is>
          <t>N.RAC</t>
        </is>
      </c>
      <c r="D69" s="23" t="n">
        <v>2</v>
      </c>
      <c r="E69" s="23">
        <f>COUNTIFS('04_Questions'!$A:$A,$A69,'04_Questions'!$F:$F,$B69,'04_Questions'!$C:$C,"A")</f>
        <v/>
      </c>
      <c r="F69" s="23" t="n">
        <v>1</v>
      </c>
      <c r="G69" s="23">
        <f>COUNTIFS('04_Questions'!$A:$A,$A69,'04_Questions'!$F:$F,$B69,'04_Questions'!$C:$C,"B")</f>
        <v/>
      </c>
      <c r="H69" s="23">
        <f>COUNTIFS('04_Questions'!$A:$A,$A69,'04_Questions'!$F:$F,$B69,'04_Questions'!$C:$C,"C")</f>
        <v/>
      </c>
      <c r="I69" s="23">
        <f>IF(AND(E69=D69,G69=F69),"OK","écart")</f>
        <v/>
      </c>
      <c r="J69" s="23">
        <f>IF(E69&gt;=1,IF(G69+H69&gt;=1,"OK","sans niveau 2"),IF(G69+H69&gt;=1,"sans niveau 1","non évaluée"))</f>
        <v/>
      </c>
      <c r="K69" s="22" t="n"/>
    </row>
    <row r="70">
      <c r="A70" s="20" t="inlineStr">
        <is>
          <t>2ndeC</t>
        </is>
      </c>
      <c r="B70" s="20" t="inlineStr">
        <is>
          <t>N-d</t>
        </is>
      </c>
      <c r="C70" s="20" t="inlineStr">
        <is>
          <t>N.INT</t>
        </is>
      </c>
      <c r="D70" s="21" t="n">
        <v>1</v>
      </c>
      <c r="E70" s="21">
        <f>COUNTIFS('04_Questions'!$A:$A,$A70,'04_Questions'!$F:$F,$B70,'04_Questions'!$C:$C,"A")</f>
        <v/>
      </c>
      <c r="F70" s="21" t="n">
        <v>1</v>
      </c>
      <c r="G70" s="21">
        <f>COUNTIFS('04_Questions'!$A:$A,$A70,'04_Questions'!$F:$F,$B70,'04_Questions'!$C:$C,"B")</f>
        <v/>
      </c>
      <c r="H70" s="21">
        <f>COUNTIFS('04_Questions'!$A:$A,$A70,'04_Questions'!$F:$F,$B70,'04_Questions'!$C:$C,"C")</f>
        <v/>
      </c>
      <c r="I70" s="21">
        <f>IF(AND(E70=D70,G70=F70),"OK","écart")</f>
        <v/>
      </c>
      <c r="J70" s="21">
        <f>IF(E70&gt;=1,IF(G70+H70&gt;=1,"OK","sans niveau 2"),IF(G70+H70&gt;=1,"sans niveau 1","non évaluée"))</f>
        <v/>
      </c>
      <c r="K70" s="20" t="n"/>
    </row>
    <row r="71">
      <c r="A71" s="22" t="inlineStr">
        <is>
          <t>2ndeC</t>
        </is>
      </c>
      <c r="B71" s="22" t="inlineStr">
        <is>
          <t>L-a</t>
        </is>
      </c>
      <c r="C71" s="22" t="inlineStr">
        <is>
          <t>L.DEV1 ; L.IDR</t>
        </is>
      </c>
      <c r="D71" s="23" t="n">
        <v>2</v>
      </c>
      <c r="E71" s="23">
        <f>COUNTIFS('04_Questions'!$A:$A,$A71,'04_Questions'!$F:$F,$B71,'04_Questions'!$C:$C,"A")</f>
        <v/>
      </c>
      <c r="F71" s="23" t="n">
        <v>1</v>
      </c>
      <c r="G71" s="23">
        <f>COUNTIFS('04_Questions'!$A:$A,$A71,'04_Questions'!$F:$F,$B71,'04_Questions'!$C:$C,"B")</f>
        <v/>
      </c>
      <c r="H71" s="23">
        <f>COUNTIFS('04_Questions'!$A:$A,$A71,'04_Questions'!$F:$F,$B71,'04_Questions'!$C:$C,"C")</f>
        <v/>
      </c>
      <c r="I71" s="23">
        <f>IF(AND(E71=D71,G71=F71),"OK","écart")</f>
        <v/>
      </c>
      <c r="J71" s="23">
        <f>IF(E71&gt;=1,IF(G71+H71&gt;=1,"OK","sans niveau 2"),IF(G71+H71&gt;=1,"sans niveau 1","non évaluée"))</f>
        <v/>
      </c>
      <c r="K71" s="22" t="n"/>
    </row>
    <row r="72">
      <c r="A72" s="20" t="inlineStr">
        <is>
          <t>2ndeC</t>
        </is>
      </c>
      <c r="B72" s="20" t="inlineStr">
        <is>
          <t>L-b</t>
        </is>
      </c>
      <c r="C72" s="20" t="inlineStr">
        <is>
          <t>L.FAC1 ; L.FAC2</t>
        </is>
      </c>
      <c r="D72" s="21" t="n">
        <v>1</v>
      </c>
      <c r="E72" s="21">
        <f>COUNTIFS('04_Questions'!$A:$A,$A72,'04_Questions'!$F:$F,$B72,'04_Questions'!$C:$C,"A")</f>
        <v/>
      </c>
      <c r="F72" s="21" t="n">
        <v>1</v>
      </c>
      <c r="G72" s="21">
        <f>COUNTIFS('04_Questions'!$A:$A,$A72,'04_Questions'!$F:$F,$B72,'04_Questions'!$C:$C,"B")</f>
        <v/>
      </c>
      <c r="H72" s="21">
        <f>COUNTIFS('04_Questions'!$A:$A,$A72,'04_Questions'!$F:$F,$B72,'04_Questions'!$C:$C,"C")</f>
        <v/>
      </c>
      <c r="I72" s="21">
        <f>IF(AND(E72=D72,G72=F72),"OK","écart")</f>
        <v/>
      </c>
      <c r="J72" s="21">
        <f>IF(E72&gt;=1,IF(G72+H72&gt;=1,"OK","sans niveau 2"),IF(G72+H72&gt;=1,"sans niveau 1","non évaluée"))</f>
        <v/>
      </c>
      <c r="K72" s="20" t="n"/>
    </row>
    <row r="73">
      <c r="A73" s="22" t="inlineStr">
        <is>
          <t>2ndeC</t>
        </is>
      </c>
      <c r="B73" s="22" t="inlineStr">
        <is>
          <t>L-c</t>
        </is>
      </c>
      <c r="C73" s="22" t="inlineStr">
        <is>
          <t>L.EQ1 ; L.EQP</t>
        </is>
      </c>
      <c r="D73" s="23" t="n">
        <v>2</v>
      </c>
      <c r="E73" s="23">
        <f>COUNTIFS('04_Questions'!$A:$A,$A73,'04_Questions'!$F:$F,$B73,'04_Questions'!$C:$C,"A")</f>
        <v/>
      </c>
      <c r="F73" s="23" t="n">
        <v>1</v>
      </c>
      <c r="G73" s="23">
        <f>COUNTIFS('04_Questions'!$A:$A,$A73,'04_Questions'!$F:$F,$B73,'04_Questions'!$C:$C,"B")</f>
        <v/>
      </c>
      <c r="H73" s="23">
        <f>COUNTIFS('04_Questions'!$A:$A,$A73,'04_Questions'!$F:$F,$B73,'04_Questions'!$C:$C,"C")</f>
        <v/>
      </c>
      <c r="I73" s="23">
        <f>IF(AND(E73=D73,G73=F73),"OK","écart")</f>
        <v/>
      </c>
      <c r="J73" s="23">
        <f>IF(E73&gt;=1,IF(G73+H73&gt;=1,"OK","sans niveau 2"),IF(G73+H73&gt;=1,"sans niveau 1","non évaluée"))</f>
        <v/>
      </c>
      <c r="K73" s="22" t="n"/>
    </row>
    <row r="74">
      <c r="A74" s="20" t="inlineStr">
        <is>
          <t>2ndeC</t>
        </is>
      </c>
      <c r="B74" s="20" t="inlineStr">
        <is>
          <t>L-d</t>
        </is>
      </c>
      <c r="C74" s="20" t="inlineStr">
        <is>
          <t>L.INEQ1</t>
        </is>
      </c>
      <c r="D74" s="21" t="n">
        <v>1</v>
      </c>
      <c r="E74" s="21">
        <f>COUNTIFS('04_Questions'!$A:$A,$A74,'04_Questions'!$F:$F,$B74,'04_Questions'!$C:$C,"A")</f>
        <v/>
      </c>
      <c r="F74" s="21" t="n">
        <v>1</v>
      </c>
      <c r="G74" s="21">
        <f>COUNTIFS('04_Questions'!$A:$A,$A74,'04_Questions'!$F:$F,$B74,'04_Questions'!$C:$C,"B")</f>
        <v/>
      </c>
      <c r="H74" s="21">
        <f>COUNTIFS('04_Questions'!$A:$A,$A74,'04_Questions'!$F:$F,$B74,'04_Questions'!$C:$C,"C")</f>
        <v/>
      </c>
      <c r="I74" s="21">
        <f>IF(AND(E74=D74,G74=F74),"OK","écart")</f>
        <v/>
      </c>
      <c r="J74" s="21">
        <f>IF(E74&gt;=1,IF(G74+H74&gt;=1,"OK","sans niveau 2"),IF(G74+H74&gt;=1,"sans niveau 1","non évaluée"))</f>
        <v/>
      </c>
      <c r="K74" s="20" t="n"/>
    </row>
    <row r="75">
      <c r="A75" s="22" t="inlineStr">
        <is>
          <t>2ndeC</t>
        </is>
      </c>
      <c r="B75" s="22" t="inlineStr">
        <is>
          <t>L-e</t>
        </is>
      </c>
      <c r="C75" s="22" t="inlineStr">
        <is>
          <t>L.SYS</t>
        </is>
      </c>
      <c r="D75" s="23" t="n">
        <v>1</v>
      </c>
      <c r="E75" s="23">
        <f>COUNTIFS('04_Questions'!$A:$A,$A75,'04_Questions'!$F:$F,$B75,'04_Questions'!$C:$C,"A")</f>
        <v/>
      </c>
      <c r="F75" s="23" t="n">
        <v>1</v>
      </c>
      <c r="G75" s="23">
        <f>COUNTIFS('04_Questions'!$A:$A,$A75,'04_Questions'!$F:$F,$B75,'04_Questions'!$C:$C,"B")</f>
        <v/>
      </c>
      <c r="H75" s="23">
        <f>COUNTIFS('04_Questions'!$A:$A,$A75,'04_Questions'!$F:$F,$B75,'04_Questions'!$C:$C,"C")</f>
        <v/>
      </c>
      <c r="I75" s="23">
        <f>IF(AND(E75=D75,G75=F75),"OK","écart")</f>
        <v/>
      </c>
      <c r="J75" s="23">
        <f>IF(E75&gt;=1,IF(G75+H75&gt;=1,"OK","sans niveau 2"),IF(G75+H75&gt;=1,"sans niveau 1","non évaluée"))</f>
        <v/>
      </c>
      <c r="K75" s="22" t="n"/>
    </row>
    <row r="76">
      <c r="A76" s="20" t="inlineStr">
        <is>
          <t>2ndeC</t>
        </is>
      </c>
      <c r="B76" s="20" t="inlineStr">
        <is>
          <t>G-a</t>
        </is>
      </c>
      <c r="C76" s="20" t="inlineStr">
        <is>
          <t>G.VEC ; G.COL</t>
        </is>
      </c>
      <c r="D76" s="21" t="n">
        <v>2</v>
      </c>
      <c r="E76" s="21">
        <f>COUNTIFS('04_Questions'!$A:$A,$A76,'04_Questions'!$F:$F,$B76,'04_Questions'!$C:$C,"A")</f>
        <v/>
      </c>
      <c r="F76" s="21" t="n">
        <v>1</v>
      </c>
      <c r="G76" s="21">
        <f>COUNTIFS('04_Questions'!$A:$A,$A76,'04_Questions'!$F:$F,$B76,'04_Questions'!$C:$C,"B")</f>
        <v/>
      </c>
      <c r="H76" s="21">
        <f>COUNTIFS('04_Questions'!$A:$A,$A76,'04_Questions'!$F:$F,$B76,'04_Questions'!$C:$C,"C")</f>
        <v/>
      </c>
      <c r="I76" s="21">
        <f>IF(AND(E76=D76,G76=F76),"OK","écart")</f>
        <v/>
      </c>
      <c r="J76" s="21">
        <f>IF(E76&gt;=1,IF(G76+H76&gt;=1,"OK","sans niveau 2"),IF(G76+H76&gt;=1,"sans niveau 1","non évaluée"))</f>
        <v/>
      </c>
      <c r="K76" s="20" t="n"/>
    </row>
    <row r="77">
      <c r="A77" s="22" t="inlineStr">
        <is>
          <t>2ndeC</t>
        </is>
      </c>
      <c r="B77" s="22" t="inlineStr">
        <is>
          <t>G-b</t>
        </is>
      </c>
      <c r="C77" s="22" t="inlineStr">
        <is>
          <t>G.RON</t>
        </is>
      </c>
      <c r="D77" s="23" t="n">
        <v>1</v>
      </c>
      <c r="E77" s="23">
        <f>COUNTIFS('04_Questions'!$A:$A,$A77,'04_Questions'!$F:$F,$B77,'04_Questions'!$C:$C,"A")</f>
        <v/>
      </c>
      <c r="F77" s="23" t="n">
        <v>1</v>
      </c>
      <c r="G77" s="23">
        <f>COUNTIFS('04_Questions'!$A:$A,$A77,'04_Questions'!$F:$F,$B77,'04_Questions'!$C:$C,"B")</f>
        <v/>
      </c>
      <c r="H77" s="23">
        <f>COUNTIFS('04_Questions'!$A:$A,$A77,'04_Questions'!$F:$F,$B77,'04_Questions'!$C:$C,"C")</f>
        <v/>
      </c>
      <c r="I77" s="23">
        <f>IF(AND(E77=D77,G77=F77),"OK","écart")</f>
        <v/>
      </c>
      <c r="J77" s="23">
        <f>IF(E77&gt;=1,IF(G77+H77&gt;=1,"OK","sans niveau 2"),IF(G77+H77&gt;=1,"sans niveau 1","non évaluée"))</f>
        <v/>
      </c>
      <c r="K77" s="22" t="n"/>
    </row>
    <row r="78">
      <c r="A78" s="20" t="inlineStr">
        <is>
          <t>2ndeC</t>
        </is>
      </c>
      <c r="B78" s="20" t="inlineStr">
        <is>
          <t>G-c</t>
        </is>
      </c>
      <c r="C78" s="20" t="inlineStr">
        <is>
          <t>G.PYT</t>
        </is>
      </c>
      <c r="D78" s="21" t="n">
        <v>1</v>
      </c>
      <c r="E78" s="21">
        <f>COUNTIFS('04_Questions'!$A:$A,$A78,'04_Questions'!$F:$F,$B78,'04_Questions'!$C:$C,"A")</f>
        <v/>
      </c>
      <c r="F78" s="21" t="n">
        <v>1</v>
      </c>
      <c r="G78" s="21">
        <f>COUNTIFS('04_Questions'!$A:$A,$A78,'04_Questions'!$F:$F,$B78,'04_Questions'!$C:$C,"B")</f>
        <v/>
      </c>
      <c r="H78" s="21">
        <f>COUNTIFS('04_Questions'!$A:$A,$A78,'04_Questions'!$F:$F,$B78,'04_Questions'!$C:$C,"C")</f>
        <v/>
      </c>
      <c r="I78" s="21">
        <f>IF(AND(E78=D78,G78=F78),"OK","écart")</f>
        <v/>
      </c>
      <c r="J78" s="21">
        <f>IF(E78&gt;=1,IF(G78+H78&gt;=1,"OK","sans niveau 2"),IF(G78+H78&gt;=1,"sans niveau 1","non évaluée"))</f>
        <v/>
      </c>
      <c r="K78" s="20" t="n"/>
    </row>
    <row r="79">
      <c r="A79" s="22" t="inlineStr">
        <is>
          <t>2ndeC</t>
        </is>
      </c>
      <c r="B79" s="22" t="inlineStr">
        <is>
          <t>G-d</t>
        </is>
      </c>
      <c r="C79" s="22" t="inlineStr">
        <is>
          <t>G.THA</t>
        </is>
      </c>
      <c r="D79" s="23" t="n">
        <v>1</v>
      </c>
      <c r="E79" s="23">
        <f>COUNTIFS('04_Questions'!$A:$A,$A79,'04_Questions'!$F:$F,$B79,'04_Questions'!$C:$C,"A")</f>
        <v/>
      </c>
      <c r="F79" s="23" t="n">
        <v>1</v>
      </c>
      <c r="G79" s="23">
        <f>COUNTIFS('04_Questions'!$A:$A,$A79,'04_Questions'!$F:$F,$B79,'04_Questions'!$C:$C,"B")</f>
        <v/>
      </c>
      <c r="H79" s="23">
        <f>COUNTIFS('04_Questions'!$A:$A,$A79,'04_Questions'!$F:$F,$B79,'04_Questions'!$C:$C,"C")</f>
        <v/>
      </c>
      <c r="I79" s="23">
        <f>IF(AND(E79=D79,G79=F79),"OK","écart")</f>
        <v/>
      </c>
      <c r="J79" s="23">
        <f>IF(E79&gt;=1,IF(G79+H79&gt;=1,"OK","sans niveau 2"),IF(G79+H79&gt;=1,"sans niveau 1","non évaluée"))</f>
        <v/>
      </c>
      <c r="K79" s="22" t="n"/>
    </row>
    <row r="80">
      <c r="A80" s="20" t="inlineStr">
        <is>
          <t>2ndeC</t>
        </is>
      </c>
      <c r="B80" s="20" t="inlineStr">
        <is>
          <t>G-e</t>
        </is>
      </c>
      <c r="C80" s="20" t="inlineStr">
        <is>
          <t>T.TRIR</t>
        </is>
      </c>
      <c r="D80" s="21" t="n">
        <v>1</v>
      </c>
      <c r="E80" s="21">
        <f>COUNTIFS('04_Questions'!$A:$A,$A80,'04_Questions'!$F:$F,$B80,'04_Questions'!$C:$C,"A")</f>
        <v/>
      </c>
      <c r="F80" s="21" t="n">
        <v>1</v>
      </c>
      <c r="G80" s="21">
        <f>COUNTIFS('04_Questions'!$A:$A,$A80,'04_Questions'!$F:$F,$B80,'04_Questions'!$C:$C,"B")</f>
        <v/>
      </c>
      <c r="H80" s="21">
        <f>COUNTIFS('04_Questions'!$A:$A,$A80,'04_Questions'!$F:$F,$B80,'04_Questions'!$C:$C,"C")</f>
        <v/>
      </c>
      <c r="I80" s="21">
        <f>IF(AND(E80=D80,G80=F80),"OK","écart")</f>
        <v/>
      </c>
      <c r="J80" s="21">
        <f>IF(E80&gt;=1,IF(G80+H80&gt;=1,"OK","sans niveau 2"),IF(G80+H80&gt;=1,"sans niveau 1","non évaluée"))</f>
        <v/>
      </c>
      <c r="K80" s="20" t="n"/>
    </row>
    <row r="81">
      <c r="A81" s="22" t="inlineStr">
        <is>
          <t>2ndeC</t>
        </is>
      </c>
      <c r="B81" s="22" t="inlineStr">
        <is>
          <t>F-a</t>
        </is>
      </c>
      <c r="C81" s="22" t="inlineStr">
        <is>
          <t>F.LIN</t>
        </is>
      </c>
      <c r="D81" s="23" t="n">
        <v>1</v>
      </c>
      <c r="E81" s="23">
        <f>COUNTIFS('04_Questions'!$A:$A,$A81,'04_Questions'!$F:$F,$B81,'04_Questions'!$C:$C,"A")</f>
        <v/>
      </c>
      <c r="F81" s="23" t="n">
        <v>1</v>
      </c>
      <c r="G81" s="23">
        <f>COUNTIFS('04_Questions'!$A:$A,$A81,'04_Questions'!$F:$F,$B81,'04_Questions'!$C:$C,"B")</f>
        <v/>
      </c>
      <c r="H81" s="23">
        <f>COUNTIFS('04_Questions'!$A:$A,$A81,'04_Questions'!$F:$F,$B81,'04_Questions'!$C:$C,"C")</f>
        <v/>
      </c>
      <c r="I81" s="23">
        <f>IF(AND(E81=D81,G81=F81),"OK","écart")</f>
        <v/>
      </c>
      <c r="J81" s="23">
        <f>IF(E81&gt;=1,IF(G81+H81&gt;=1,"OK","sans niveau 2"),IF(G81+H81&gt;=1,"sans niveau 1","non évaluée"))</f>
        <v/>
      </c>
      <c r="K81" s="22" t="n"/>
    </row>
    <row r="82">
      <c r="A82" s="20" t="inlineStr">
        <is>
          <t>2ndeC</t>
        </is>
      </c>
      <c r="B82" s="20" t="inlineStr">
        <is>
          <t>D-a</t>
        </is>
      </c>
      <c r="C82" s="20" t="inlineStr">
        <is>
          <t>D.STAT1</t>
        </is>
      </c>
      <c r="D82" s="21" t="n">
        <v>1</v>
      </c>
      <c r="E82" s="21">
        <f>COUNTIFS('04_Questions'!$A:$A,$A82,'04_Questions'!$F:$F,$B82,'04_Questions'!$C:$C,"A")</f>
        <v/>
      </c>
      <c r="F82" s="21" t="n">
        <v>1</v>
      </c>
      <c r="G82" s="21">
        <f>COUNTIFS('04_Questions'!$A:$A,$A82,'04_Questions'!$F:$F,$B82,'04_Questions'!$C:$C,"B")</f>
        <v/>
      </c>
      <c r="H82" s="21">
        <f>COUNTIFS('04_Questions'!$A:$A,$A82,'04_Questions'!$F:$F,$B82,'04_Questions'!$C:$C,"C")</f>
        <v/>
      </c>
      <c r="I82" s="21">
        <f>IF(AND(E82=D82,G82=F82),"OK","écart")</f>
        <v/>
      </c>
      <c r="J82" s="21">
        <f>IF(E82&gt;=1,IF(G82+H82&gt;=1,"OK","sans niveau 2"),IF(G82+H82&gt;=1,"sans niveau 1","non évaluée"))</f>
        <v/>
      </c>
      <c r="K82" s="20" t="n"/>
    </row>
    <row r="83">
      <c r="A83" s="22" t="inlineStr">
        <is>
          <t>1ereD</t>
        </is>
      </c>
      <c r="B83" s="22" t="inlineStr">
        <is>
          <t>N-a</t>
        </is>
      </c>
      <c r="C83" s="22" t="inlineStr">
        <is>
          <t>N.RAC ; N.PUI ; N.VAB</t>
        </is>
      </c>
      <c r="D83" s="23" t="n">
        <v>1</v>
      </c>
      <c r="E83" s="23">
        <f>COUNTIFS('04_Questions'!$A:$A,$A83,'04_Questions'!$F:$F,$B83,'04_Questions'!$C:$C,"A")</f>
        <v/>
      </c>
      <c r="F83" s="23" t="n">
        <v>1</v>
      </c>
      <c r="G83" s="23">
        <f>COUNTIFS('04_Questions'!$A:$A,$A83,'04_Questions'!$F:$F,$B83,'04_Questions'!$C:$C,"B")</f>
        <v/>
      </c>
      <c r="H83" s="23">
        <f>COUNTIFS('04_Questions'!$A:$A,$A83,'04_Questions'!$F:$F,$B83,'04_Questions'!$C:$C,"C")</f>
        <v/>
      </c>
      <c r="I83" s="23">
        <f>IF(AND(E83=D83,G83=F83),"OK","écart")</f>
        <v/>
      </c>
      <c r="J83" s="23">
        <f>IF(E83&gt;=1,IF(G83+H83&gt;=1,"OK","sans niveau 2"),IF(G83+H83&gt;=1,"sans niveau 1","non évaluée"))</f>
        <v/>
      </c>
      <c r="K83" s="22" t="n"/>
    </row>
    <row r="84">
      <c r="A84" s="20" t="inlineStr">
        <is>
          <t>1ereD</t>
        </is>
      </c>
      <c r="B84" s="20" t="inlineStr">
        <is>
          <t>N-b</t>
        </is>
      </c>
      <c r="C84" s="20" t="inlineStr">
        <is>
          <t>N.INT ; N.MAJ</t>
        </is>
      </c>
      <c r="D84" s="21" t="n">
        <v>1</v>
      </c>
      <c r="E84" s="21">
        <f>COUNTIFS('04_Questions'!$A:$A,$A84,'04_Questions'!$F:$F,$B84,'04_Questions'!$C:$C,"A")</f>
        <v/>
      </c>
      <c r="F84" s="21" t="n">
        <v>1</v>
      </c>
      <c r="G84" s="21">
        <f>COUNTIFS('04_Questions'!$A:$A,$A84,'04_Questions'!$F:$F,$B84,'04_Questions'!$C:$C,"B")</f>
        <v/>
      </c>
      <c r="H84" s="21">
        <f>COUNTIFS('04_Questions'!$A:$A,$A84,'04_Questions'!$F:$F,$B84,'04_Questions'!$C:$C,"C")</f>
        <v/>
      </c>
      <c r="I84" s="21">
        <f>IF(AND(E84=D84,G84=F84),"OK","écart")</f>
        <v/>
      </c>
      <c r="J84" s="21">
        <f>IF(E84&gt;=1,IF(G84+H84&gt;=1,"OK","sans niveau 2"),IF(G84+H84&gt;=1,"sans niveau 1","non évaluée"))</f>
        <v/>
      </c>
      <c r="K84" s="20" t="n"/>
    </row>
    <row r="85">
      <c r="A85" s="22" t="inlineStr">
        <is>
          <t>1ereD</t>
        </is>
      </c>
      <c r="B85" s="22" t="inlineStr">
        <is>
          <t>L-a</t>
        </is>
      </c>
      <c r="C85" s="22" t="inlineStr">
        <is>
          <t>L.EQ2</t>
        </is>
      </c>
      <c r="D85" s="23" t="n">
        <v>1</v>
      </c>
      <c r="E85" s="23">
        <f>COUNTIFS('04_Questions'!$A:$A,$A85,'04_Questions'!$F:$F,$B85,'04_Questions'!$C:$C,"A")</f>
        <v/>
      </c>
      <c r="F85" s="23" t="n">
        <v>1</v>
      </c>
      <c r="G85" s="23">
        <f>COUNTIFS('04_Questions'!$A:$A,$A85,'04_Questions'!$F:$F,$B85,'04_Questions'!$C:$C,"B")</f>
        <v/>
      </c>
      <c r="H85" s="23">
        <f>COUNTIFS('04_Questions'!$A:$A,$A85,'04_Questions'!$F:$F,$B85,'04_Questions'!$C:$C,"C")</f>
        <v/>
      </c>
      <c r="I85" s="23">
        <f>IF(AND(E85=D85,G85=F85),"OK","écart")</f>
        <v/>
      </c>
      <c r="J85" s="23">
        <f>IF(E85&gt;=1,IF(G85+H85&gt;=1,"OK","sans niveau 2"),IF(G85+H85&gt;=1,"sans niveau 1","non évaluée"))</f>
        <v/>
      </c>
      <c r="K85" s="22" t="n"/>
    </row>
    <row r="86">
      <c r="A86" s="20" t="inlineStr">
        <is>
          <t>1ereD</t>
        </is>
      </c>
      <c r="B86" s="20" t="inlineStr">
        <is>
          <t>L-b</t>
        </is>
      </c>
      <c r="C86" s="20" t="inlineStr">
        <is>
          <t>L.TRI</t>
        </is>
      </c>
      <c r="D86" s="21" t="n">
        <v>1</v>
      </c>
      <c r="E86" s="21">
        <f>COUNTIFS('04_Questions'!$A:$A,$A86,'04_Questions'!$F:$F,$B86,'04_Questions'!$C:$C,"A")</f>
        <v/>
      </c>
      <c r="F86" s="21" t="n">
        <v>1</v>
      </c>
      <c r="G86" s="21">
        <f>COUNTIFS('04_Questions'!$A:$A,$A86,'04_Questions'!$F:$F,$B86,'04_Questions'!$C:$C,"B")</f>
        <v/>
      </c>
      <c r="H86" s="21">
        <f>COUNTIFS('04_Questions'!$A:$A,$A86,'04_Questions'!$F:$F,$B86,'04_Questions'!$C:$C,"C")</f>
        <v/>
      </c>
      <c r="I86" s="21">
        <f>IF(AND(E86=D86,G86=F86),"OK","écart")</f>
        <v/>
      </c>
      <c r="J86" s="21">
        <f>IF(E86&gt;=1,IF(G86+H86&gt;=1,"OK","sans niveau 2"),IF(G86+H86&gt;=1,"sans niveau 1","non évaluée"))</f>
        <v/>
      </c>
      <c r="K86" s="20" t="n"/>
    </row>
    <row r="87">
      <c r="A87" s="22" t="inlineStr">
        <is>
          <t>1ereD</t>
        </is>
      </c>
      <c r="B87" s="22" t="inlineStr">
        <is>
          <t>L-c</t>
        </is>
      </c>
      <c r="C87" s="22" t="inlineStr">
        <is>
          <t>L.INEQ2</t>
        </is>
      </c>
      <c r="D87" s="23" t="n">
        <v>1</v>
      </c>
      <c r="E87" s="23">
        <f>COUNTIFS('04_Questions'!$A:$A,$A87,'04_Questions'!$F:$F,$B87,'04_Questions'!$C:$C,"A")</f>
        <v/>
      </c>
      <c r="F87" s="23" t="n">
        <v>1</v>
      </c>
      <c r="G87" s="23">
        <f>COUNTIFS('04_Questions'!$A:$A,$A87,'04_Questions'!$F:$F,$B87,'04_Questions'!$C:$C,"B")</f>
        <v/>
      </c>
      <c r="H87" s="23">
        <f>COUNTIFS('04_Questions'!$A:$A,$A87,'04_Questions'!$F:$F,$B87,'04_Questions'!$C:$C,"C")</f>
        <v/>
      </c>
      <c r="I87" s="23">
        <f>IF(AND(E87=D87,G87=F87),"OK","écart")</f>
        <v/>
      </c>
      <c r="J87" s="23">
        <f>IF(E87&gt;=1,IF(G87+H87&gt;=1,"OK","sans niveau 2"),IF(G87+H87&gt;=1,"sans niveau 1","non évaluée"))</f>
        <v/>
      </c>
      <c r="K87" s="22" t="n"/>
    </row>
    <row r="88">
      <c r="A88" s="20" t="inlineStr">
        <is>
          <t>1ereD</t>
        </is>
      </c>
      <c r="B88" s="20" t="inlineStr">
        <is>
          <t>L-d</t>
        </is>
      </c>
      <c r="C88" s="20" t="inlineStr">
        <is>
          <t>L.SYSL</t>
        </is>
      </c>
      <c r="D88" s="21" t="n">
        <v>1</v>
      </c>
      <c r="E88" s="21">
        <f>COUNTIFS('04_Questions'!$A:$A,$A88,'04_Questions'!$F:$F,$B88,'04_Questions'!$C:$C,"A")</f>
        <v/>
      </c>
      <c r="F88" s="21" t="n">
        <v>1</v>
      </c>
      <c r="G88" s="21">
        <f>COUNTIFS('04_Questions'!$A:$A,$A88,'04_Questions'!$F:$F,$B88,'04_Questions'!$C:$C,"B")</f>
        <v/>
      </c>
      <c r="H88" s="21">
        <f>COUNTIFS('04_Questions'!$A:$A,$A88,'04_Questions'!$F:$F,$B88,'04_Questions'!$C:$C,"C")</f>
        <v/>
      </c>
      <c r="I88" s="21">
        <f>IF(AND(E88=D88,G88=F88),"OK","écart")</f>
        <v/>
      </c>
      <c r="J88" s="21">
        <f>IF(E88&gt;=1,IF(G88+H88&gt;=1,"OK","sans niveau 2"),IF(G88+H88&gt;=1,"sans niveau 1","non évaluée"))</f>
        <v/>
      </c>
      <c r="K88" s="20" t="n"/>
    </row>
    <row r="89">
      <c r="A89" s="22" t="inlineStr">
        <is>
          <t>1ereD</t>
        </is>
      </c>
      <c r="B89" s="22" t="inlineStr">
        <is>
          <t>F-a</t>
        </is>
      </c>
      <c r="C89" s="22" t="inlineStr">
        <is>
          <t>F.DEF</t>
        </is>
      </c>
      <c r="D89" s="23" t="n">
        <v>1</v>
      </c>
      <c r="E89" s="23">
        <f>COUNTIFS('04_Questions'!$A:$A,$A89,'04_Questions'!$F:$F,$B89,'04_Questions'!$C:$C,"A")</f>
        <v/>
      </c>
      <c r="F89" s="23" t="n">
        <v>1</v>
      </c>
      <c r="G89" s="23">
        <f>COUNTIFS('04_Questions'!$A:$A,$A89,'04_Questions'!$F:$F,$B89,'04_Questions'!$C:$C,"B")</f>
        <v/>
      </c>
      <c r="H89" s="23">
        <f>COUNTIFS('04_Questions'!$A:$A,$A89,'04_Questions'!$F:$F,$B89,'04_Questions'!$C:$C,"C")</f>
        <v/>
      </c>
      <c r="I89" s="23">
        <f>IF(AND(E89=D89,G89=F89),"OK","écart")</f>
        <v/>
      </c>
      <c r="J89" s="23">
        <f>IF(E89&gt;=1,IF(G89+H89&gt;=1,"OK","sans niveau 2"),IF(G89+H89&gt;=1,"sans niveau 1","non évaluée"))</f>
        <v/>
      </c>
      <c r="K89" s="22" t="n"/>
    </row>
    <row r="90">
      <c r="A90" s="20" t="inlineStr">
        <is>
          <t>1ereD</t>
        </is>
      </c>
      <c r="B90" s="20" t="inlineStr">
        <is>
          <t>F-b</t>
        </is>
      </c>
      <c r="C90" s="20" t="inlineStr">
        <is>
          <t>F.PAR</t>
        </is>
      </c>
      <c r="D90" s="21" t="n">
        <v>1</v>
      </c>
      <c r="E90" s="21">
        <f>COUNTIFS('04_Questions'!$A:$A,$A90,'04_Questions'!$F:$F,$B90,'04_Questions'!$C:$C,"A")</f>
        <v/>
      </c>
      <c r="F90" s="21" t="n">
        <v>1</v>
      </c>
      <c r="G90" s="21">
        <f>COUNTIFS('04_Questions'!$A:$A,$A90,'04_Questions'!$F:$F,$B90,'04_Questions'!$C:$C,"B")</f>
        <v/>
      </c>
      <c r="H90" s="21">
        <f>COUNTIFS('04_Questions'!$A:$A,$A90,'04_Questions'!$F:$F,$B90,'04_Questions'!$C:$C,"C")</f>
        <v/>
      </c>
      <c r="I90" s="21">
        <f>IF(AND(E90=D90,G90=F90),"OK","écart")</f>
        <v/>
      </c>
      <c r="J90" s="21">
        <f>IF(E90&gt;=1,IF(G90+H90&gt;=1,"OK","sans niveau 2"),IF(G90+H90&gt;=1,"sans niveau 1","non évaluée"))</f>
        <v/>
      </c>
      <c r="K90" s="20" t="n"/>
    </row>
    <row r="91">
      <c r="A91" s="22" t="inlineStr">
        <is>
          <t>1ereD</t>
        </is>
      </c>
      <c r="B91" s="22" t="inlineStr">
        <is>
          <t>F-c</t>
        </is>
      </c>
      <c r="C91" s="22" t="inlineStr">
        <is>
          <t>F.GRA</t>
        </is>
      </c>
      <c r="D91" s="23" t="n">
        <v>1</v>
      </c>
      <c r="E91" s="23">
        <f>COUNTIFS('04_Questions'!$A:$A,$A91,'04_Questions'!$F:$F,$B91,'04_Questions'!$C:$C,"A")</f>
        <v/>
      </c>
      <c r="F91" s="23" t="n">
        <v>1</v>
      </c>
      <c r="G91" s="23">
        <f>COUNTIFS('04_Questions'!$A:$A,$A91,'04_Questions'!$F:$F,$B91,'04_Questions'!$C:$C,"B")</f>
        <v/>
      </c>
      <c r="H91" s="23">
        <f>COUNTIFS('04_Questions'!$A:$A,$A91,'04_Questions'!$F:$F,$B91,'04_Questions'!$C:$C,"C")</f>
        <v/>
      </c>
      <c r="I91" s="23">
        <f>IF(AND(E91=D91,G91=F91),"OK","écart")</f>
        <v/>
      </c>
      <c r="J91" s="23">
        <f>IF(E91&gt;=1,IF(G91+H91&gt;=1,"OK","sans niveau 2"),IF(G91+H91&gt;=1,"sans niveau 1","non évaluée"))</f>
        <v/>
      </c>
      <c r="K91" s="22" t="n"/>
    </row>
    <row r="92">
      <c r="A92" s="20" t="inlineStr">
        <is>
          <t>1ereD</t>
        </is>
      </c>
      <c r="B92" s="20" t="inlineStr">
        <is>
          <t>F-d</t>
        </is>
      </c>
      <c r="C92" s="20" t="inlineStr">
        <is>
          <t>F.REF</t>
        </is>
      </c>
      <c r="D92" s="21" t="n">
        <v>2</v>
      </c>
      <c r="E92" s="21">
        <f>COUNTIFS('04_Questions'!$A:$A,$A92,'04_Questions'!$F:$F,$B92,'04_Questions'!$C:$C,"A")</f>
        <v/>
      </c>
      <c r="F92" s="21" t="n">
        <v>0</v>
      </c>
      <c r="G92" s="21">
        <f>COUNTIFS('04_Questions'!$A:$A,$A92,'04_Questions'!$F:$F,$B92,'04_Questions'!$C:$C,"B")</f>
        <v/>
      </c>
      <c r="H92" s="21">
        <f>COUNTIFS('04_Questions'!$A:$A,$A92,'04_Questions'!$F:$F,$B92,'04_Questions'!$C:$C,"C")</f>
        <v/>
      </c>
      <c r="I92" s="21">
        <f>IF(AND(E92=D92,G92=F92),"OK","écart")</f>
        <v/>
      </c>
      <c r="J92" s="21">
        <f>IF(E92&gt;=1,IF(G92+H92&gt;=1,"OK","sans niveau 2"),IF(G92+H92&gt;=1,"sans niveau 1","non évaluée"))</f>
        <v/>
      </c>
      <c r="K92" s="20" t="n"/>
    </row>
    <row r="93">
      <c r="A93" s="22" t="inlineStr">
        <is>
          <t>1ereD</t>
        </is>
      </c>
      <c r="B93" s="22" t="inlineStr">
        <is>
          <t>F-e</t>
        </is>
      </c>
      <c r="C93" s="22" t="inlineStr">
        <is>
          <t>F.CIRC</t>
        </is>
      </c>
      <c r="D93" s="23" t="n">
        <v>1</v>
      </c>
      <c r="E93" s="23">
        <f>COUNTIFS('04_Questions'!$A:$A,$A93,'04_Questions'!$F:$F,$B93,'04_Questions'!$C:$C,"A")</f>
        <v/>
      </c>
      <c r="F93" s="23" t="n">
        <v>1</v>
      </c>
      <c r="G93" s="23">
        <f>COUNTIFS('04_Questions'!$A:$A,$A93,'04_Questions'!$F:$F,$B93,'04_Questions'!$C:$C,"B")</f>
        <v/>
      </c>
      <c r="H93" s="23">
        <f>COUNTIFS('04_Questions'!$A:$A,$A93,'04_Questions'!$F:$F,$B93,'04_Questions'!$C:$C,"C")</f>
        <v/>
      </c>
      <c r="I93" s="23">
        <f>IF(AND(E93=D93,G93=F93),"OK","écart")</f>
        <v/>
      </c>
      <c r="J93" s="23">
        <f>IF(E93&gt;=1,IF(G93+H93&gt;=1,"OK","sans niveau 2"),IF(G93+H93&gt;=1,"sans niveau 1","non évaluée"))</f>
        <v/>
      </c>
      <c r="K93" s="22" t="n"/>
    </row>
    <row r="94">
      <c r="A94" s="20" t="inlineStr">
        <is>
          <t>1ereD</t>
        </is>
      </c>
      <c r="B94" s="20" t="inlineStr">
        <is>
          <t>G-a</t>
        </is>
      </c>
      <c r="C94" s="20" t="inlineStr">
        <is>
          <t>G.COL</t>
        </is>
      </c>
      <c r="D94" s="21" t="n">
        <v>1</v>
      </c>
      <c r="E94" s="21">
        <f>COUNTIFS('04_Questions'!$A:$A,$A94,'04_Questions'!$F:$F,$B94,'04_Questions'!$C:$C,"A")</f>
        <v/>
      </c>
      <c r="F94" s="21" t="n">
        <v>1</v>
      </c>
      <c r="G94" s="21">
        <f>COUNTIFS('04_Questions'!$A:$A,$A94,'04_Questions'!$F:$F,$B94,'04_Questions'!$C:$C,"B")</f>
        <v/>
      </c>
      <c r="H94" s="21">
        <f>COUNTIFS('04_Questions'!$A:$A,$A94,'04_Questions'!$F:$F,$B94,'04_Questions'!$C:$C,"C")</f>
        <v/>
      </c>
      <c r="I94" s="21">
        <f>IF(AND(E94=D94,G94=F94),"OK","écart")</f>
        <v/>
      </c>
      <c r="J94" s="21">
        <f>IF(E94&gt;=1,IF(G94+H94&gt;=1,"OK","sans niveau 2"),IF(G94+H94&gt;=1,"sans niveau 1","non évaluée"))</f>
        <v/>
      </c>
      <c r="K94" s="20" t="n"/>
    </row>
    <row r="95">
      <c r="A95" s="22" t="inlineStr">
        <is>
          <t>1ereD</t>
        </is>
      </c>
      <c r="B95" s="22" t="inlineStr">
        <is>
          <t>G-b</t>
        </is>
      </c>
      <c r="C95" s="22" t="inlineStr">
        <is>
          <t>G.PS</t>
        </is>
      </c>
      <c r="D95" s="23" t="n">
        <v>1</v>
      </c>
      <c r="E95" s="23">
        <f>COUNTIFS('04_Questions'!$A:$A,$A95,'04_Questions'!$F:$F,$B95,'04_Questions'!$C:$C,"A")</f>
        <v/>
      </c>
      <c r="F95" s="23" t="n">
        <v>1</v>
      </c>
      <c r="G95" s="23">
        <f>COUNTIFS('04_Questions'!$A:$A,$A95,'04_Questions'!$F:$F,$B95,'04_Questions'!$C:$C,"B")</f>
        <v/>
      </c>
      <c r="H95" s="23">
        <f>COUNTIFS('04_Questions'!$A:$A,$A95,'04_Questions'!$F:$F,$B95,'04_Questions'!$C:$C,"C")</f>
        <v/>
      </c>
      <c r="I95" s="23">
        <f>IF(AND(E95=D95,G95=F95),"OK","écart")</f>
        <v/>
      </c>
      <c r="J95" s="23">
        <f>IF(E95&gt;=1,IF(G95+H95&gt;=1,"OK","sans niveau 2"),IF(G95+H95&gt;=1,"sans niveau 1","non évaluée"))</f>
        <v/>
      </c>
      <c r="K95" s="22" t="n"/>
    </row>
    <row r="96">
      <c r="A96" s="20" t="inlineStr">
        <is>
          <t>1ereD</t>
        </is>
      </c>
      <c r="B96" s="20" t="inlineStr">
        <is>
          <t>G-c</t>
        </is>
      </c>
      <c r="C96" s="20" t="inlineStr">
        <is>
          <t>G.PLAN</t>
        </is>
      </c>
      <c r="D96" s="21" t="n">
        <v>1</v>
      </c>
      <c r="E96" s="21">
        <f>COUNTIFS('04_Questions'!$A:$A,$A96,'04_Questions'!$F:$F,$B96,'04_Questions'!$C:$C,"A")</f>
        <v/>
      </c>
      <c r="F96" s="21" t="n">
        <v>1</v>
      </c>
      <c r="G96" s="21">
        <f>COUNTIFS('04_Questions'!$A:$A,$A96,'04_Questions'!$F:$F,$B96,'04_Questions'!$C:$C,"B")</f>
        <v/>
      </c>
      <c r="H96" s="21">
        <f>COUNTIFS('04_Questions'!$A:$A,$A96,'04_Questions'!$F:$F,$B96,'04_Questions'!$C:$C,"C")</f>
        <v/>
      </c>
      <c r="I96" s="21">
        <f>IF(AND(E96=D96,G96=F96),"OK","écart")</f>
        <v/>
      </c>
      <c r="J96" s="21">
        <f>IF(E96&gt;=1,IF(G96+H96&gt;=1,"OK","sans niveau 2"),IF(G96+H96&gt;=1,"sans niveau 1","non évaluée"))</f>
        <v/>
      </c>
      <c r="K96" s="20" t="n"/>
    </row>
    <row r="97">
      <c r="A97" s="22" t="inlineStr">
        <is>
          <t>1ereD</t>
        </is>
      </c>
      <c r="B97" s="22" t="inlineStr">
        <is>
          <t>G-d</t>
        </is>
      </c>
      <c r="C97" s="22" t="inlineStr">
        <is>
          <t>G.HOM</t>
        </is>
      </c>
      <c r="D97" s="23" t="n">
        <v>2</v>
      </c>
      <c r="E97" s="23">
        <f>COUNTIFS('04_Questions'!$A:$A,$A97,'04_Questions'!$F:$F,$B97,'04_Questions'!$C:$C,"A")</f>
        <v/>
      </c>
      <c r="F97" s="23" t="n">
        <v>0</v>
      </c>
      <c r="G97" s="23">
        <f>COUNTIFS('04_Questions'!$A:$A,$A97,'04_Questions'!$F:$F,$B97,'04_Questions'!$C:$C,"B")</f>
        <v/>
      </c>
      <c r="H97" s="23">
        <f>COUNTIFS('04_Questions'!$A:$A,$A97,'04_Questions'!$F:$F,$B97,'04_Questions'!$C:$C,"C")</f>
        <v/>
      </c>
      <c r="I97" s="23">
        <f>IF(AND(E97=D97,G97=F97),"OK","écart")</f>
        <v/>
      </c>
      <c r="J97" s="23">
        <f>IF(E97&gt;=1,IF(G97+H97&gt;=1,"OK","sans niveau 2"),IF(G97+H97&gt;=1,"sans niveau 1","non évaluée"))</f>
        <v/>
      </c>
      <c r="K97" s="22" t="n"/>
    </row>
    <row r="98">
      <c r="A98" s="20" t="inlineStr">
        <is>
          <t>1ereD</t>
        </is>
      </c>
      <c r="B98" s="20" t="inlineStr">
        <is>
          <t>G-e</t>
        </is>
      </c>
      <c r="C98" s="20" t="inlineStr">
        <is>
          <t>G.ESP</t>
        </is>
      </c>
      <c r="D98" s="21" t="n">
        <v>2</v>
      </c>
      <c r="E98" s="21">
        <f>COUNTIFS('04_Questions'!$A:$A,$A98,'04_Questions'!$F:$F,$B98,'04_Questions'!$C:$C,"A")</f>
        <v/>
      </c>
      <c r="F98" s="21" t="n">
        <v>0</v>
      </c>
      <c r="G98" s="21">
        <f>COUNTIFS('04_Questions'!$A:$A,$A98,'04_Questions'!$F:$F,$B98,'04_Questions'!$C:$C,"B")</f>
        <v/>
      </c>
      <c r="H98" s="21">
        <f>COUNTIFS('04_Questions'!$A:$A,$A98,'04_Questions'!$F:$F,$B98,'04_Questions'!$C:$C,"C")</f>
        <v/>
      </c>
      <c r="I98" s="21">
        <f>IF(AND(E98=D98,G98=F98),"OK","écart")</f>
        <v/>
      </c>
      <c r="J98" s="21">
        <f>IF(E98&gt;=1,IF(G98+H98&gt;=1,"OK","sans niveau 2"),IF(G98+H98&gt;=1,"sans niveau 1","non évaluée"))</f>
        <v/>
      </c>
      <c r="K98" s="20" t="n"/>
    </row>
    <row r="99">
      <c r="A99" s="22" t="inlineStr">
        <is>
          <t>1ereD</t>
        </is>
      </c>
      <c r="B99" s="22" t="inlineStr">
        <is>
          <t>D-a</t>
        </is>
      </c>
      <c r="C99" s="22" t="inlineStr">
        <is>
          <t>D.STAT2</t>
        </is>
      </c>
      <c r="D99" s="23" t="n">
        <v>1</v>
      </c>
      <c r="E99" s="23">
        <f>COUNTIFS('04_Questions'!$A:$A,$A99,'04_Questions'!$F:$F,$B99,'04_Questions'!$C:$C,"A")</f>
        <v/>
      </c>
      <c r="F99" s="23" t="n">
        <v>1</v>
      </c>
      <c r="G99" s="23">
        <f>COUNTIFS('04_Questions'!$A:$A,$A99,'04_Questions'!$F:$F,$B99,'04_Questions'!$C:$C,"B")</f>
        <v/>
      </c>
      <c r="H99" s="23">
        <f>COUNTIFS('04_Questions'!$A:$A,$A99,'04_Questions'!$F:$F,$B99,'04_Questions'!$C:$C,"C")</f>
        <v/>
      </c>
      <c r="I99" s="23">
        <f>IF(AND(E99=D99,G99=F99),"OK","écart")</f>
        <v/>
      </c>
      <c r="J99" s="23">
        <f>IF(E99&gt;=1,IF(G99+H99&gt;=1,"OK","sans niveau 2"),IF(G99+H99&gt;=1,"sans niveau 1","non évaluée"))</f>
        <v/>
      </c>
      <c r="K99" s="22" t="n"/>
    </row>
    <row r="100">
      <c r="A100" s="20" t="inlineStr">
        <is>
          <t>tleD</t>
        </is>
      </c>
      <c r="B100" s="20" t="inlineStr">
        <is>
          <t>N-a</t>
        </is>
      </c>
      <c r="C100" s="20" t="inlineStr">
        <is>
          <t>N.RAC ; N.PUI ; N.VAB</t>
        </is>
      </c>
      <c r="D100" s="21" t="n">
        <v>1</v>
      </c>
      <c r="E100" s="21">
        <f>COUNTIFS('04_Questions'!$A:$A,$A100,'04_Questions'!$F:$F,$B100,'04_Questions'!$C:$C,"A")</f>
        <v/>
      </c>
      <c r="F100" s="21" t="n">
        <v>0</v>
      </c>
      <c r="G100" s="21">
        <f>COUNTIFS('04_Questions'!$A:$A,$A100,'04_Questions'!$F:$F,$B100,'04_Questions'!$C:$C,"B")</f>
        <v/>
      </c>
      <c r="H100" s="21">
        <f>COUNTIFS('04_Questions'!$A:$A,$A100,'04_Questions'!$F:$F,$B100,'04_Questions'!$C:$C,"C")</f>
        <v/>
      </c>
      <c r="I100" s="21">
        <f>IF(AND(E100=D100,G100=F100),"OK","écart")</f>
        <v/>
      </c>
      <c r="J100" s="21">
        <f>IF(E100&gt;=1,IF(G100+H100&gt;=1,"OK","sans niveau 2"),IF(G100+H100&gt;=1,"sans niveau 1","non évaluée"))</f>
        <v/>
      </c>
      <c r="K100" s="20" t="n"/>
    </row>
    <row r="101">
      <c r="A101" s="22" t="inlineStr">
        <is>
          <t>tleD</t>
        </is>
      </c>
      <c r="B101" s="22" t="inlineStr">
        <is>
          <t>L-a</t>
        </is>
      </c>
      <c r="C101" s="22" t="inlineStr">
        <is>
          <t>L.POLY</t>
        </is>
      </c>
      <c r="D101" s="23" t="n">
        <v>1</v>
      </c>
      <c r="E101" s="23">
        <f>COUNTIFS('04_Questions'!$A:$A,$A101,'04_Questions'!$F:$F,$B101,'04_Questions'!$C:$C,"A")</f>
        <v/>
      </c>
      <c r="F101" s="23" t="n">
        <v>1</v>
      </c>
      <c r="G101" s="23">
        <f>COUNTIFS('04_Questions'!$A:$A,$A101,'04_Questions'!$F:$F,$B101,'04_Questions'!$C:$C,"B")</f>
        <v/>
      </c>
      <c r="H101" s="23">
        <f>COUNTIFS('04_Questions'!$A:$A,$A101,'04_Questions'!$F:$F,$B101,'04_Questions'!$C:$C,"C")</f>
        <v/>
      </c>
      <c r="I101" s="23">
        <f>IF(AND(E101=D101,G101=F101),"OK","écart")</f>
        <v/>
      </c>
      <c r="J101" s="23">
        <f>IF(E101&gt;=1,IF(G101+H101&gt;=1,"OK","sans niveau 2"),IF(G101+H101&gt;=1,"sans niveau 1","non évaluée"))</f>
        <v/>
      </c>
      <c r="K101" s="22" t="n"/>
    </row>
    <row r="102">
      <c r="A102" s="20" t="inlineStr">
        <is>
          <t>tleD</t>
        </is>
      </c>
      <c r="B102" s="20" t="inlineStr">
        <is>
          <t>L-b</t>
        </is>
      </c>
      <c r="C102" s="20" t="inlineStr">
        <is>
          <t>L.RATF</t>
        </is>
      </c>
      <c r="D102" s="21" t="n">
        <v>1</v>
      </c>
      <c r="E102" s="21">
        <f>COUNTIFS('04_Questions'!$A:$A,$A102,'04_Questions'!$F:$F,$B102,'04_Questions'!$C:$C,"A")</f>
        <v/>
      </c>
      <c r="F102" s="21" t="n">
        <v>1</v>
      </c>
      <c r="G102" s="21">
        <f>COUNTIFS('04_Questions'!$A:$A,$A102,'04_Questions'!$F:$F,$B102,'04_Questions'!$C:$C,"B")</f>
        <v/>
      </c>
      <c r="H102" s="21">
        <f>COUNTIFS('04_Questions'!$A:$A,$A102,'04_Questions'!$F:$F,$B102,'04_Questions'!$C:$C,"C")</f>
        <v/>
      </c>
      <c r="I102" s="21">
        <f>IF(AND(E102=D102,G102=F102),"OK","écart")</f>
        <v/>
      </c>
      <c r="J102" s="21">
        <f>IF(E102&gt;=1,IF(G102+H102&gt;=1,"OK","sans niveau 2"),IF(G102+H102&gt;=1,"sans niveau 1","non évaluée"))</f>
        <v/>
      </c>
      <c r="K102" s="20" t="n"/>
    </row>
    <row r="103">
      <c r="A103" s="22" t="inlineStr">
        <is>
          <t>tleD</t>
        </is>
      </c>
      <c r="B103" s="22" t="inlineStr">
        <is>
          <t>L-c</t>
        </is>
      </c>
      <c r="C103" s="22" t="inlineStr">
        <is>
          <t>L.EQ2 ; L.INEQ2</t>
        </is>
      </c>
      <c r="D103" s="23" t="n">
        <v>1</v>
      </c>
      <c r="E103" s="23">
        <f>COUNTIFS('04_Questions'!$A:$A,$A103,'04_Questions'!$F:$F,$B103,'04_Questions'!$C:$C,"A")</f>
        <v/>
      </c>
      <c r="F103" s="23" t="n">
        <v>1</v>
      </c>
      <c r="G103" s="23">
        <f>COUNTIFS('04_Questions'!$A:$A,$A103,'04_Questions'!$F:$F,$B103,'04_Questions'!$C:$C,"B")</f>
        <v/>
      </c>
      <c r="H103" s="23">
        <f>COUNTIFS('04_Questions'!$A:$A,$A103,'04_Questions'!$F:$F,$B103,'04_Questions'!$C:$C,"C")</f>
        <v/>
      </c>
      <c r="I103" s="23">
        <f>IF(AND(E103=D103,G103=F103),"OK","écart")</f>
        <v/>
      </c>
      <c r="J103" s="23">
        <f>IF(E103&gt;=1,IF(G103+H103&gt;=1,"OK","sans niveau 2"),IF(G103+H103&gt;=1,"sans niveau 1","non évaluée"))</f>
        <v/>
      </c>
      <c r="K103" s="22" t="n"/>
    </row>
    <row r="104">
      <c r="A104" s="20" t="inlineStr">
        <is>
          <t>tleD</t>
        </is>
      </c>
      <c r="B104" s="20" t="inlineStr">
        <is>
          <t>F-a</t>
        </is>
      </c>
      <c r="C104" s="20" t="inlineStr">
        <is>
          <t>F.DEF ; F.PAR</t>
        </is>
      </c>
      <c r="D104" s="21" t="n">
        <v>1</v>
      </c>
      <c r="E104" s="21">
        <f>COUNTIFS('04_Questions'!$A:$A,$A104,'04_Questions'!$F:$F,$B104,'04_Questions'!$C:$C,"A")</f>
        <v/>
      </c>
      <c r="F104" s="21" t="n">
        <v>1</v>
      </c>
      <c r="G104" s="21">
        <f>COUNTIFS('04_Questions'!$A:$A,$A104,'04_Questions'!$F:$F,$B104,'04_Questions'!$C:$C,"B")</f>
        <v/>
      </c>
      <c r="H104" s="21">
        <f>COUNTIFS('04_Questions'!$A:$A,$A104,'04_Questions'!$F:$F,$B104,'04_Questions'!$C:$C,"C")</f>
        <v/>
      </c>
      <c r="I104" s="21">
        <f>IF(AND(E104=D104,G104=F104),"OK","écart")</f>
        <v/>
      </c>
      <c r="J104" s="21">
        <f>IF(E104&gt;=1,IF(G104+H104&gt;=1,"OK","sans niveau 2"),IF(G104+H104&gt;=1,"sans niveau 1","non évaluée"))</f>
        <v/>
      </c>
      <c r="K104" s="20" t="n"/>
    </row>
    <row r="105">
      <c r="A105" s="22" t="inlineStr">
        <is>
          <t>tleD</t>
        </is>
      </c>
      <c r="B105" s="22" t="inlineStr">
        <is>
          <t>F-b</t>
        </is>
      </c>
      <c r="C105" s="22" t="inlineStr">
        <is>
          <t>F.LIM</t>
        </is>
      </c>
      <c r="D105" s="23" t="n">
        <v>1</v>
      </c>
      <c r="E105" s="23">
        <f>COUNTIFS('04_Questions'!$A:$A,$A105,'04_Questions'!$F:$F,$B105,'04_Questions'!$C:$C,"A")</f>
        <v/>
      </c>
      <c r="F105" s="23" t="n">
        <v>1</v>
      </c>
      <c r="G105" s="23">
        <f>COUNTIFS('04_Questions'!$A:$A,$A105,'04_Questions'!$F:$F,$B105,'04_Questions'!$C:$C,"B")</f>
        <v/>
      </c>
      <c r="H105" s="23">
        <f>COUNTIFS('04_Questions'!$A:$A,$A105,'04_Questions'!$F:$F,$B105,'04_Questions'!$C:$C,"C")</f>
        <v/>
      </c>
      <c r="I105" s="23">
        <f>IF(AND(E105=D105,G105=F105),"OK","écart")</f>
        <v/>
      </c>
      <c r="J105" s="23">
        <f>IF(E105&gt;=1,IF(G105+H105&gt;=1,"OK","sans niveau 2"),IF(G105+H105&gt;=1,"sans niveau 1","non évaluée"))</f>
        <v/>
      </c>
      <c r="K105" s="22" t="n"/>
    </row>
    <row r="106">
      <c r="A106" s="20" t="inlineStr">
        <is>
          <t>tleD</t>
        </is>
      </c>
      <c r="B106" s="20" t="inlineStr">
        <is>
          <t>F-c</t>
        </is>
      </c>
      <c r="C106" s="20" t="inlineStr">
        <is>
          <t>F.ASY</t>
        </is>
      </c>
      <c r="D106" s="21" t="n">
        <v>1</v>
      </c>
      <c r="E106" s="21">
        <f>COUNTIFS('04_Questions'!$A:$A,$A106,'04_Questions'!$F:$F,$B106,'04_Questions'!$C:$C,"A")</f>
        <v/>
      </c>
      <c r="F106" s="21" t="n">
        <v>1</v>
      </c>
      <c r="G106" s="21">
        <f>COUNTIFS('04_Questions'!$A:$A,$A106,'04_Questions'!$F:$F,$B106,'04_Questions'!$C:$C,"B")</f>
        <v/>
      </c>
      <c r="H106" s="21">
        <f>COUNTIFS('04_Questions'!$A:$A,$A106,'04_Questions'!$F:$F,$B106,'04_Questions'!$C:$C,"C")</f>
        <v/>
      </c>
      <c r="I106" s="21">
        <f>IF(AND(E106=D106,G106=F106),"OK","écart")</f>
        <v/>
      </c>
      <c r="J106" s="21">
        <f>IF(E106&gt;=1,IF(G106+H106&gt;=1,"OK","sans niveau 2"),IF(G106+H106&gt;=1,"sans niveau 1","non évaluée"))</f>
        <v/>
      </c>
      <c r="K106" s="20" t="n"/>
    </row>
    <row r="107">
      <c r="A107" s="22" t="inlineStr">
        <is>
          <t>tleD</t>
        </is>
      </c>
      <c r="B107" s="22" t="inlineStr">
        <is>
          <t>F-d</t>
        </is>
      </c>
      <c r="C107" s="22" t="inlineStr">
        <is>
          <t>F.DER</t>
        </is>
      </c>
      <c r="D107" s="23" t="n">
        <v>2</v>
      </c>
      <c r="E107" s="23">
        <f>COUNTIFS('04_Questions'!$A:$A,$A107,'04_Questions'!$F:$F,$B107,'04_Questions'!$C:$C,"A")</f>
        <v/>
      </c>
      <c r="F107" s="23" t="n">
        <v>1</v>
      </c>
      <c r="G107" s="23">
        <f>COUNTIFS('04_Questions'!$A:$A,$A107,'04_Questions'!$F:$F,$B107,'04_Questions'!$C:$C,"B")</f>
        <v/>
      </c>
      <c r="H107" s="23">
        <f>COUNTIFS('04_Questions'!$A:$A,$A107,'04_Questions'!$F:$F,$B107,'04_Questions'!$C:$C,"C")</f>
        <v/>
      </c>
      <c r="I107" s="23">
        <f>IF(AND(E107=D107,G107=F107),"OK","écart")</f>
        <v/>
      </c>
      <c r="J107" s="23">
        <f>IF(E107&gt;=1,IF(G107+H107&gt;=1,"OK","sans niveau 2"),IF(G107+H107&gt;=1,"sans niveau 1","non évaluée"))</f>
        <v/>
      </c>
      <c r="K107" s="22" t="n"/>
    </row>
    <row r="108">
      <c r="A108" s="20" t="inlineStr">
        <is>
          <t>tleD</t>
        </is>
      </c>
      <c r="B108" s="20" t="inlineStr">
        <is>
          <t>F-e</t>
        </is>
      </c>
      <c r="C108" s="20" t="inlineStr">
        <is>
          <t>F.TAN</t>
        </is>
      </c>
      <c r="D108" s="21" t="n">
        <v>1</v>
      </c>
      <c r="E108" s="21">
        <f>COUNTIFS('04_Questions'!$A:$A,$A108,'04_Questions'!$F:$F,$B108,'04_Questions'!$C:$C,"A")</f>
        <v/>
      </c>
      <c r="F108" s="21" t="n">
        <v>1</v>
      </c>
      <c r="G108" s="21">
        <f>COUNTIFS('04_Questions'!$A:$A,$A108,'04_Questions'!$F:$F,$B108,'04_Questions'!$C:$C,"B")</f>
        <v/>
      </c>
      <c r="H108" s="21">
        <f>COUNTIFS('04_Questions'!$A:$A,$A108,'04_Questions'!$F:$F,$B108,'04_Questions'!$C:$C,"C")</f>
        <v/>
      </c>
      <c r="I108" s="21">
        <f>IF(AND(E108=D108,G108=F108),"OK","écart")</f>
        <v/>
      </c>
      <c r="J108" s="21">
        <f>IF(E108&gt;=1,IF(G108+H108&gt;=1,"OK","sans niveau 2"),IF(G108+H108&gt;=1,"sans niveau 1","non évaluée"))</f>
        <v/>
      </c>
      <c r="K108" s="20" t="n"/>
    </row>
    <row r="109">
      <c r="A109" s="22" t="inlineStr">
        <is>
          <t>tleD</t>
        </is>
      </c>
      <c r="B109" s="22" t="inlineStr">
        <is>
          <t>F-f</t>
        </is>
      </c>
      <c r="C109" s="22" t="inlineStr">
        <is>
          <t>F.VAR</t>
        </is>
      </c>
      <c r="D109" s="23" t="n">
        <v>1</v>
      </c>
      <c r="E109" s="23">
        <f>COUNTIFS('04_Questions'!$A:$A,$A109,'04_Questions'!$F:$F,$B109,'04_Questions'!$C:$C,"A")</f>
        <v/>
      </c>
      <c r="F109" s="23" t="n">
        <v>1</v>
      </c>
      <c r="G109" s="23">
        <f>COUNTIFS('04_Questions'!$A:$A,$A109,'04_Questions'!$F:$F,$B109,'04_Questions'!$C:$C,"B")</f>
        <v/>
      </c>
      <c r="H109" s="23">
        <f>COUNTIFS('04_Questions'!$A:$A,$A109,'04_Questions'!$F:$F,$B109,'04_Questions'!$C:$C,"C")</f>
        <v/>
      </c>
      <c r="I109" s="23">
        <f>IF(AND(E109=D109,G109=F109),"OK","écart")</f>
        <v/>
      </c>
      <c r="J109" s="23">
        <f>IF(E109&gt;=1,IF(G109+H109&gt;=1,"OK","sans niveau 2"),IF(G109+H109&gt;=1,"sans niveau 1","non évaluée"))</f>
        <v/>
      </c>
      <c r="K109" s="22" t="n"/>
    </row>
    <row r="110">
      <c r="A110" s="20" t="inlineStr">
        <is>
          <t>tleD</t>
        </is>
      </c>
      <c r="B110" s="20" t="inlineStr">
        <is>
          <t>F-g</t>
        </is>
      </c>
      <c r="C110" s="20" t="inlineStr">
        <is>
          <t>F.GRA</t>
        </is>
      </c>
      <c r="D110" s="21" t="n">
        <v>1</v>
      </c>
      <c r="E110" s="21">
        <f>COUNTIFS('04_Questions'!$A:$A,$A110,'04_Questions'!$F:$F,$B110,'04_Questions'!$C:$C,"A")</f>
        <v/>
      </c>
      <c r="F110" s="21" t="n">
        <v>0</v>
      </c>
      <c r="G110" s="21">
        <f>COUNTIFS('04_Questions'!$A:$A,$A110,'04_Questions'!$F:$F,$B110,'04_Questions'!$C:$C,"B")</f>
        <v/>
      </c>
      <c r="H110" s="21">
        <f>COUNTIFS('04_Questions'!$A:$A,$A110,'04_Questions'!$F:$F,$B110,'04_Questions'!$C:$C,"C")</f>
        <v/>
      </c>
      <c r="I110" s="21">
        <f>IF(AND(E110=D110,G110=F110),"OK","écart")</f>
        <v/>
      </c>
      <c r="J110" s="21">
        <f>IF(E110&gt;=1,IF(G110+H110&gt;=1,"OK","sans niveau 2"),IF(G110+H110&gt;=1,"sans niveau 1","non évaluée"))</f>
        <v/>
      </c>
      <c r="K110" s="20" t="n"/>
    </row>
    <row r="111">
      <c r="A111" s="22" t="inlineStr">
        <is>
          <t>tleD</t>
        </is>
      </c>
      <c r="B111" s="22" t="inlineStr">
        <is>
          <t>S-a</t>
        </is>
      </c>
      <c r="C111" s="22" t="inlineStr">
        <is>
          <t>S.SUI</t>
        </is>
      </c>
      <c r="D111" s="23" t="n">
        <v>2</v>
      </c>
      <c r="E111" s="23">
        <f>COUNTIFS('04_Questions'!$A:$A,$A111,'04_Questions'!$F:$F,$B111,'04_Questions'!$C:$C,"A")</f>
        <v/>
      </c>
      <c r="F111" s="23" t="n">
        <v>1</v>
      </c>
      <c r="G111" s="23">
        <f>COUNTIFS('04_Questions'!$A:$A,$A111,'04_Questions'!$F:$F,$B111,'04_Questions'!$C:$C,"B")</f>
        <v/>
      </c>
      <c r="H111" s="23">
        <f>COUNTIFS('04_Questions'!$A:$A,$A111,'04_Questions'!$F:$F,$B111,'04_Questions'!$C:$C,"C")</f>
        <v/>
      </c>
      <c r="I111" s="23">
        <f>IF(AND(E111=D111,G111=F111),"OK","écart")</f>
        <v/>
      </c>
      <c r="J111" s="23">
        <f>IF(E111&gt;=1,IF(G111+H111&gt;=1,"OK","sans niveau 2"),IF(G111+H111&gt;=1,"sans niveau 1","non évaluée"))</f>
        <v/>
      </c>
      <c r="K111" s="22" t="n"/>
    </row>
    <row r="112">
      <c r="A112" s="20" t="inlineStr">
        <is>
          <t>tleD</t>
        </is>
      </c>
      <c r="B112" s="20" t="inlineStr">
        <is>
          <t>S-b</t>
        </is>
      </c>
      <c r="C112" s="20" t="inlineStr">
        <is>
          <t>S.REC</t>
        </is>
      </c>
      <c r="D112" s="21" t="n">
        <v>1</v>
      </c>
      <c r="E112" s="21">
        <f>COUNTIFS('04_Questions'!$A:$A,$A112,'04_Questions'!$F:$F,$B112,'04_Questions'!$C:$C,"A")</f>
        <v/>
      </c>
      <c r="F112" s="21" t="n">
        <v>1</v>
      </c>
      <c r="G112" s="21">
        <f>COUNTIFS('04_Questions'!$A:$A,$A112,'04_Questions'!$F:$F,$B112,'04_Questions'!$C:$C,"B")</f>
        <v/>
      </c>
      <c r="H112" s="21">
        <f>COUNTIFS('04_Questions'!$A:$A,$A112,'04_Questions'!$F:$F,$B112,'04_Questions'!$C:$C,"C")</f>
        <v/>
      </c>
      <c r="I112" s="21">
        <f>IF(AND(E112=D112,G112=F112),"OK","écart")</f>
        <v/>
      </c>
      <c r="J112" s="21">
        <f>IF(E112&gt;=1,IF(G112+H112&gt;=1,"OK","sans niveau 2"),IF(G112+H112&gt;=1,"sans niveau 1","non évaluée"))</f>
        <v/>
      </c>
      <c r="K112" s="20" t="n"/>
    </row>
    <row r="113">
      <c r="A113" s="22" t="inlineStr">
        <is>
          <t>tleD</t>
        </is>
      </c>
      <c r="B113" s="22" t="inlineStr">
        <is>
          <t>T-a</t>
        </is>
      </c>
      <c r="C113" s="22" t="inlineStr">
        <is>
          <t>T.TRIG</t>
        </is>
      </c>
      <c r="D113" s="23" t="n">
        <v>1</v>
      </c>
      <c r="E113" s="23">
        <f>COUNTIFS('04_Questions'!$A:$A,$A113,'04_Questions'!$F:$F,$B113,'04_Questions'!$C:$C,"A")</f>
        <v/>
      </c>
      <c r="F113" s="23" t="n">
        <v>1</v>
      </c>
      <c r="G113" s="23">
        <f>COUNTIFS('04_Questions'!$A:$A,$A113,'04_Questions'!$F:$F,$B113,'04_Questions'!$C:$C,"B")</f>
        <v/>
      </c>
      <c r="H113" s="23">
        <f>COUNTIFS('04_Questions'!$A:$A,$A113,'04_Questions'!$F:$F,$B113,'04_Questions'!$C:$C,"C")</f>
        <v/>
      </c>
      <c r="I113" s="23">
        <f>IF(AND(E113=D113,G113=F113),"OK","écart")</f>
        <v/>
      </c>
      <c r="J113" s="23">
        <f>IF(E113&gt;=1,IF(G113+H113&gt;=1,"OK","sans niveau 2"),IF(G113+H113&gt;=1,"sans niveau 1","non évaluée"))</f>
        <v/>
      </c>
      <c r="K113" s="22" t="n"/>
    </row>
    <row r="114">
      <c r="A114" s="20" t="inlineStr">
        <is>
          <t>tleD</t>
        </is>
      </c>
      <c r="B114" s="20" t="inlineStr">
        <is>
          <t>T-b</t>
        </is>
      </c>
      <c r="C114" s="20" t="inlineStr">
        <is>
          <t>T.EQT</t>
        </is>
      </c>
      <c r="D114" s="21" t="n">
        <v>1</v>
      </c>
      <c r="E114" s="21">
        <f>COUNTIFS('04_Questions'!$A:$A,$A114,'04_Questions'!$F:$F,$B114,'04_Questions'!$C:$C,"A")</f>
        <v/>
      </c>
      <c r="F114" s="21" t="n">
        <v>0</v>
      </c>
      <c r="G114" s="21">
        <f>COUNTIFS('04_Questions'!$A:$A,$A114,'04_Questions'!$F:$F,$B114,'04_Questions'!$C:$C,"B")</f>
        <v/>
      </c>
      <c r="H114" s="21">
        <f>COUNTIFS('04_Questions'!$A:$A,$A114,'04_Questions'!$F:$F,$B114,'04_Questions'!$C:$C,"C")</f>
        <v/>
      </c>
      <c r="I114" s="21">
        <f>IF(AND(E114=D114,G114=F114),"OK","écart")</f>
        <v/>
      </c>
      <c r="J114" s="21">
        <f>IF(E114&gt;=1,IF(G114+H114&gt;=1,"OK","sans niveau 2"),IF(G114+H114&gt;=1,"sans niveau 1","non évaluée"))</f>
        <v/>
      </c>
      <c r="K114" s="20" t="n"/>
    </row>
    <row r="115">
      <c r="A115" s="22" t="inlineStr">
        <is>
          <t>tleD</t>
        </is>
      </c>
      <c r="B115" s="22" t="inlineStr">
        <is>
          <t>D-a</t>
        </is>
      </c>
      <c r="C115" s="22" t="inlineStr">
        <is>
          <t>D.DEN</t>
        </is>
      </c>
      <c r="D115" s="23" t="n">
        <v>1</v>
      </c>
      <c r="E115" s="23">
        <f>COUNTIFS('04_Questions'!$A:$A,$A115,'04_Questions'!$F:$F,$B115,'04_Questions'!$C:$C,"A")</f>
        <v/>
      </c>
      <c r="F115" s="23" t="n">
        <v>1</v>
      </c>
      <c r="G115" s="23">
        <f>COUNTIFS('04_Questions'!$A:$A,$A115,'04_Questions'!$F:$F,$B115,'04_Questions'!$C:$C,"B")</f>
        <v/>
      </c>
      <c r="H115" s="23">
        <f>COUNTIFS('04_Questions'!$A:$A,$A115,'04_Questions'!$F:$F,$B115,'04_Questions'!$C:$C,"C")</f>
        <v/>
      </c>
      <c r="I115" s="23">
        <f>IF(AND(E115=D115,G115=F115),"OK","écart")</f>
        <v/>
      </c>
      <c r="J115" s="23">
        <f>IF(E115&gt;=1,IF(G115+H115&gt;=1,"OK","sans niveau 2"),IF(G115+H115&gt;=1,"sans niveau 1","non évaluée"))</f>
        <v/>
      </c>
      <c r="K115" s="22" t="n"/>
    </row>
    <row r="116">
      <c r="A116" s="20" t="inlineStr">
        <is>
          <t>tleD</t>
        </is>
      </c>
      <c r="B116" s="20" t="inlineStr">
        <is>
          <t>G-a</t>
        </is>
      </c>
      <c r="C116" s="20" t="inlineStr">
        <is>
          <t>G.PS</t>
        </is>
      </c>
      <c r="D116" s="21" t="n">
        <v>1</v>
      </c>
      <c r="E116" s="21">
        <f>COUNTIFS('04_Questions'!$A:$A,$A116,'04_Questions'!$F:$F,$B116,'04_Questions'!$C:$C,"A")</f>
        <v/>
      </c>
      <c r="F116" s="21" t="n">
        <v>0</v>
      </c>
      <c r="G116" s="21">
        <f>COUNTIFS('04_Questions'!$A:$A,$A116,'04_Questions'!$F:$F,$B116,'04_Questions'!$C:$C,"B")</f>
        <v/>
      </c>
      <c r="H116" s="21">
        <f>COUNTIFS('04_Questions'!$A:$A,$A116,'04_Questions'!$F:$F,$B116,'04_Questions'!$C:$C,"C")</f>
        <v/>
      </c>
      <c r="I116" s="21">
        <f>IF(AND(E116=D116,G116=F116),"OK","écart")</f>
        <v/>
      </c>
      <c r="J116" s="21">
        <f>IF(E116&gt;=1,IF(G116+H116&gt;=1,"OK","sans niveau 2"),IF(G116+H116&gt;=1,"sans niveau 1","non évaluée"))</f>
        <v/>
      </c>
      <c r="K116" s="20" t="n"/>
    </row>
    <row r="117">
      <c r="A117" s="22" t="inlineStr">
        <is>
          <t>tleD</t>
        </is>
      </c>
      <c r="B117" s="22" t="inlineStr">
        <is>
          <t>G-b</t>
        </is>
      </c>
      <c r="C117" s="22" t="inlineStr">
        <is>
          <t>G.ESP</t>
        </is>
      </c>
      <c r="D117" s="23" t="n">
        <v>1</v>
      </c>
      <c r="E117" s="23">
        <f>COUNTIFS('04_Questions'!$A:$A,$A117,'04_Questions'!$F:$F,$B117,'04_Questions'!$C:$C,"A")</f>
        <v/>
      </c>
      <c r="F117" s="23" t="n">
        <v>1</v>
      </c>
      <c r="G117" s="23">
        <f>COUNTIFS('04_Questions'!$A:$A,$A117,'04_Questions'!$F:$F,$B117,'04_Questions'!$C:$C,"B")</f>
        <v/>
      </c>
      <c r="H117" s="23">
        <f>COUNTIFS('04_Questions'!$A:$A,$A117,'04_Questions'!$F:$F,$B117,'04_Questions'!$C:$C,"C")</f>
        <v/>
      </c>
      <c r="I117" s="23">
        <f>IF(AND(E117=D117,G117=F117),"OK","écart")</f>
        <v/>
      </c>
      <c r="J117" s="23">
        <f>IF(E117&gt;=1,IF(G117+H117&gt;=1,"OK","sans niveau 2"),IF(G117+H117&gt;=1,"sans niveau 1","non évaluée"))</f>
        <v/>
      </c>
      <c r="K117" s="22" t="n"/>
    </row>
    <row r="119">
      <c r="A119" s="24" t="inlineStr">
        <is>
          <t>Contrôle par test</t>
        </is>
      </c>
    </row>
    <row r="120" ht="30" customHeight="1" s="10">
      <c r="A120" s="19" t="inlineStr">
        <is>
          <t>Niveau du test</t>
        </is>
      </c>
      <c r="B120" s="19" t="inlineStr">
        <is>
          <t>Questions en A</t>
        </is>
      </c>
      <c r="C120" s="19" t="inlineStr">
        <is>
          <t>Questions en B</t>
        </is>
      </c>
      <c r="D120" s="19" t="inlineStr">
        <is>
          <t>Sous-questions en C</t>
        </is>
      </c>
      <c r="E120" s="19" t="inlineStr">
        <is>
          <t>Barème total</t>
        </is>
      </c>
      <c r="F120" s="19" t="inlineStr">
        <is>
          <t>Barème attendu</t>
        </is>
      </c>
      <c r="G120" s="19" t="inlineStr">
        <is>
          <t>Contrôle barème</t>
        </is>
      </c>
      <c r="H120" s="19" t="inlineStr">
        <is>
          <t>Compétences distinctes en C (principales)</t>
        </is>
      </c>
      <c r="I120" s="19" t="inlineStr">
        <is>
          <t>Seuil de la SPEC</t>
        </is>
      </c>
      <c r="J120" s="19" t="inlineStr">
        <is>
          <t>Contrôle couverture C</t>
        </is>
      </c>
    </row>
    <row r="121">
      <c r="A121" s="20" t="inlineStr">
        <is>
          <t>6eme</t>
        </is>
      </c>
      <c r="B121" s="21">
        <f>COUNTIFS('04_Questions'!$A:$A,$A121,'04_Questions'!$C:$C,"A")</f>
        <v/>
      </c>
      <c r="C121" s="21">
        <f>COUNTIFS('04_Questions'!$A:$A,$A121,'04_Questions'!$C:$C,"B")</f>
        <v/>
      </c>
      <c r="D121" s="21">
        <f>COUNTIFS('04_Questions'!$A:$A,$A121,'04_Questions'!$C:$C,"C")</f>
        <v/>
      </c>
      <c r="E121" s="21">
        <f>SUMIFS('04_Questions'!$D:$D,'04_Questions'!$A:$A,$A121)</f>
        <v/>
      </c>
      <c r="F121" s="21" t="n">
        <v>60</v>
      </c>
      <c r="G121" s="21">
        <f>IF(E121=F121,"OK","écart")</f>
        <v/>
      </c>
      <c r="H121" s="21">
        <f>SUMPRODUCT(($A$2:$A$117=$A121)*($H$2:$H$117&gt;0))</f>
        <v/>
      </c>
      <c r="I121" s="21" t="n">
        <v>7</v>
      </c>
      <c r="J121" s="21">
        <f>IF(H121&gt;=I121,"OK","sous le seuil")</f>
        <v/>
      </c>
    </row>
    <row r="122">
      <c r="A122" s="22" t="inlineStr">
        <is>
          <t>5eme</t>
        </is>
      </c>
      <c r="B122" s="23">
        <f>COUNTIFS('04_Questions'!$A:$A,$A122,'04_Questions'!$C:$C,"A")</f>
        <v/>
      </c>
      <c r="C122" s="23">
        <f>COUNTIFS('04_Questions'!$A:$A,$A122,'04_Questions'!$C:$C,"B")</f>
        <v/>
      </c>
      <c r="D122" s="23">
        <f>COUNTIFS('04_Questions'!$A:$A,$A122,'04_Questions'!$C:$C,"C")</f>
        <v/>
      </c>
      <c r="E122" s="23">
        <f>SUMIFS('04_Questions'!$D:$D,'04_Questions'!$A:$A,$A122)</f>
        <v/>
      </c>
      <c r="F122" s="23" t="n">
        <v>60</v>
      </c>
      <c r="G122" s="23">
        <f>IF(E122=F122,"OK","écart")</f>
        <v/>
      </c>
      <c r="H122" s="23">
        <f>SUMPRODUCT(($A$2:$A$117=$A122)*($H$2:$H$117&gt;0))</f>
        <v/>
      </c>
      <c r="I122" s="23" t="n">
        <v>7</v>
      </c>
      <c r="J122" s="23">
        <f>IF(H122&gt;=I122,"OK","sous le seuil")</f>
        <v/>
      </c>
    </row>
    <row r="123">
      <c r="A123" s="20" t="inlineStr">
        <is>
          <t>4eme</t>
        </is>
      </c>
      <c r="B123" s="21">
        <f>COUNTIFS('04_Questions'!$A:$A,$A123,'04_Questions'!$C:$C,"A")</f>
        <v/>
      </c>
      <c r="C123" s="21">
        <f>COUNTIFS('04_Questions'!$A:$A,$A123,'04_Questions'!$C:$C,"B")</f>
        <v/>
      </c>
      <c r="D123" s="21">
        <f>COUNTIFS('04_Questions'!$A:$A,$A123,'04_Questions'!$C:$C,"C")</f>
        <v/>
      </c>
      <c r="E123" s="21">
        <f>SUMIFS('04_Questions'!$D:$D,'04_Questions'!$A:$A,$A123)</f>
        <v/>
      </c>
      <c r="F123" s="21" t="n">
        <v>60</v>
      </c>
      <c r="G123" s="21">
        <f>IF(E123=F123,"OK","écart")</f>
        <v/>
      </c>
      <c r="H123" s="21">
        <f>SUMPRODUCT(($A$2:$A$117=$A123)*($H$2:$H$117&gt;0))</f>
        <v/>
      </c>
      <c r="I123" s="21" t="n">
        <v>7</v>
      </c>
      <c r="J123" s="21">
        <f>IF(H123&gt;=I123,"OK","sous le seuil")</f>
        <v/>
      </c>
    </row>
    <row r="124">
      <c r="A124" s="22" t="inlineStr">
        <is>
          <t>3eme</t>
        </is>
      </c>
      <c r="B124" s="23">
        <f>COUNTIFS('04_Questions'!$A:$A,$A124,'04_Questions'!$C:$C,"A")</f>
        <v/>
      </c>
      <c r="C124" s="23">
        <f>COUNTIFS('04_Questions'!$A:$A,$A124,'04_Questions'!$C:$C,"B")</f>
        <v/>
      </c>
      <c r="D124" s="23">
        <f>COUNTIFS('04_Questions'!$A:$A,$A124,'04_Questions'!$C:$C,"C")</f>
        <v/>
      </c>
      <c r="E124" s="23">
        <f>SUMIFS('04_Questions'!$D:$D,'04_Questions'!$A:$A,$A124)</f>
        <v/>
      </c>
      <c r="F124" s="23" t="n">
        <v>60</v>
      </c>
      <c r="G124" s="23">
        <f>IF(E124=F124,"OK","écart")</f>
        <v/>
      </c>
      <c r="H124" s="23">
        <f>SUMPRODUCT(($A$2:$A$117=$A124)*($H$2:$H$117&gt;0))</f>
        <v/>
      </c>
      <c r="I124" s="23" t="n">
        <v>7</v>
      </c>
      <c r="J124" s="23">
        <f>IF(H124&gt;=I124,"OK","sous le seuil")</f>
        <v/>
      </c>
    </row>
    <row r="125">
      <c r="A125" s="20" t="inlineStr">
        <is>
          <t>2ndeC</t>
        </is>
      </c>
      <c r="B125" s="21">
        <f>COUNTIFS('04_Questions'!$A:$A,$A125,'04_Questions'!$C:$C,"A")</f>
        <v/>
      </c>
      <c r="C125" s="21">
        <f>COUNTIFS('04_Questions'!$A:$A,$A125,'04_Questions'!$C:$C,"B")</f>
        <v/>
      </c>
      <c r="D125" s="21">
        <f>COUNTIFS('04_Questions'!$A:$A,$A125,'04_Questions'!$C:$C,"C")</f>
        <v/>
      </c>
      <c r="E125" s="21">
        <f>SUMIFS('04_Questions'!$D:$D,'04_Questions'!$A:$A,$A125)</f>
        <v/>
      </c>
      <c r="F125" s="21" t="n">
        <v>80</v>
      </c>
      <c r="G125" s="21">
        <f>IF(E125=F125,"OK","écart")</f>
        <v/>
      </c>
      <c r="H125" s="21">
        <f>SUMPRODUCT(($A$2:$A$117=$A125)*($H$2:$H$117&gt;0))</f>
        <v/>
      </c>
      <c r="I125" s="21" t="n">
        <v>9</v>
      </c>
      <c r="J125" s="21">
        <f>IF(H125&gt;=I125,"OK","sous le seuil")</f>
        <v/>
      </c>
    </row>
    <row r="126">
      <c r="A126" s="22" t="inlineStr">
        <is>
          <t>1ereD</t>
        </is>
      </c>
      <c r="B126" s="23">
        <f>COUNTIFS('04_Questions'!$A:$A,$A126,'04_Questions'!$C:$C,"A")</f>
        <v/>
      </c>
      <c r="C126" s="23">
        <f>COUNTIFS('04_Questions'!$A:$A,$A126,'04_Questions'!$C:$C,"B")</f>
        <v/>
      </c>
      <c r="D126" s="23">
        <f>COUNTIFS('04_Questions'!$A:$A,$A126,'04_Questions'!$C:$C,"C")</f>
        <v/>
      </c>
      <c r="E126" s="23">
        <f>SUMIFS('04_Questions'!$D:$D,'04_Questions'!$A:$A,$A126)</f>
        <v/>
      </c>
      <c r="F126" s="23" t="n">
        <v>80</v>
      </c>
      <c r="G126" s="23">
        <f>IF(E126=F126,"OK","écart")</f>
        <v/>
      </c>
      <c r="H126" s="23">
        <f>SUMPRODUCT(($A$2:$A$117=$A126)*($H$2:$H$117&gt;0))</f>
        <v/>
      </c>
      <c r="I126" s="23" t="n">
        <v>9</v>
      </c>
      <c r="J126" s="23">
        <f>IF(H126&gt;=I126,"OK","sous le seuil")</f>
        <v/>
      </c>
    </row>
    <row r="127">
      <c r="A127" s="20" t="inlineStr">
        <is>
          <t>tleD</t>
        </is>
      </c>
      <c r="B127" s="21">
        <f>COUNTIFS('04_Questions'!$A:$A,$A127,'04_Questions'!$C:$C,"A")</f>
        <v/>
      </c>
      <c r="C127" s="21">
        <f>COUNTIFS('04_Questions'!$A:$A,$A127,'04_Questions'!$C:$C,"B")</f>
        <v/>
      </c>
      <c r="D127" s="21">
        <f>COUNTIFS('04_Questions'!$A:$A,$A127,'04_Questions'!$C:$C,"C")</f>
        <v/>
      </c>
      <c r="E127" s="21">
        <f>SUMIFS('04_Questions'!$D:$D,'04_Questions'!$A:$A,$A127)</f>
        <v/>
      </c>
      <c r="F127" s="21" t="n">
        <v>80</v>
      </c>
      <c r="G127" s="21">
        <f>IF(E127=F127,"OK","écart")</f>
        <v/>
      </c>
      <c r="H127" s="21">
        <f>SUMPRODUCT(($A$2:$A$117=$A127)*($H$2:$H$117&gt;0))</f>
        <v/>
      </c>
      <c r="I127" s="21" t="n">
        <v>9</v>
      </c>
      <c r="J127" s="21">
        <f>IF(H127&gt;=I127,"OK","sous le seuil")</f>
        <v/>
      </c>
    </row>
    <row r="129">
      <c r="A129" s="25" t="inlineStr">
        <is>
          <t>Les colonnes de contrôle se recalculent seules : une modification de l'onglet 04 qui casse la couverture apparaît ici en rouge.</t>
        </is>
      </c>
    </row>
  </sheetData>
  <autoFilter ref="A1:K117"/>
  <conditionalFormatting sqref="I2:J117">
    <cfRule type="expression" priority="1" dxfId="4">
      <formula>AND(I2&lt;&gt;"OK",I2&lt;&gt;"",$K2="")</formula>
    </cfRule>
  </conditionalFormatting>
  <conditionalFormatting sqref="G121:J127">
    <cfRule type="expression" priority="2" dxfId="4">
      <formula>OR(G121="écart",G121="sous le seuil")</formula>
    </cfRule>
  </conditionalFormatting>
  <pageMargins left="0.75" right="0.75" top="1" bottom="1" header="0.5" footer="0.5"/>
</worksheet>
</file>

<file path=xl/worksheets/sheet9.xml><?xml version="1.0" encoding="utf-8"?>
<worksheet xmlns="http://schemas.openxmlformats.org/spreadsheetml/2006/main">
  <sheetPr filterMode="0">
    <outlinePr summaryBelow="1" summaryRight="1"/>
    <pageSetUpPr fitToPage="0"/>
  </sheetPr>
  <dimension ref="A1:H44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9" min="1" max="1"/>
    <col width="38" customWidth="1" style="9" min="2" max="2"/>
    <col width="14" customWidth="1" style="9" min="3" max="3"/>
    <col width="12" customWidth="1" style="9" min="4" max="4"/>
    <col width="34" customWidth="1" style="9" min="5" max="5"/>
    <col width="12" customWidth="1" style="9" min="6" max="6"/>
    <col width="16" customWidth="1" style="9" min="7" max="7"/>
    <col width="52" customWidth="1" style="9" min="8" max="8"/>
  </cols>
  <sheetData>
    <row r="1" ht="30" customHeight="1" s="10">
      <c r="A1" s="14" t="inlineStr">
        <is>
          <t>Competence</t>
        </is>
      </c>
      <c r="B1" s="14" t="inlineStr">
        <is>
          <t>Libelle</t>
        </is>
      </c>
      <c r="C1" s="14" t="inlineStr">
        <is>
          <t>Volume horaire officiel</t>
        </is>
      </c>
      <c r="D1" s="14" t="inlineStr">
        <is>
          <t>Type d'erreur</t>
        </is>
      </c>
      <c r="E1" s="14" t="inlineStr">
        <is>
          <t>Libelle du type</t>
        </is>
      </c>
      <c r="F1" s="14" t="inlineStr">
        <is>
          <t>Coefficient</t>
        </is>
      </c>
      <c r="G1" s="14" t="inlineStr">
        <is>
          <t>Cout estime de remediation (h)</t>
        </is>
      </c>
      <c r="H1" s="14" t="inlineStr">
        <is>
          <t>Derivation du volume</t>
        </is>
      </c>
    </row>
    <row r="2" ht="15" customHeight="1" s="10">
      <c r="A2" s="15" t="inlineStr">
        <is>
          <t>N.NUM</t>
        </is>
      </c>
      <c r="B2" s="15" t="inlineStr">
        <is>
          <t>Numeration decimale</t>
        </is>
      </c>
      <c r="C2" s="15" t="n">
        <v>2</v>
      </c>
      <c r="D2" s="15" t="inlineStr">
        <is>
          <t>PRQ</t>
        </is>
      </c>
      <c r="E2" s="15" t="inlineStr">
        <is>
          <t>Prerequis manquant</t>
        </is>
      </c>
      <c r="F2" s="15" t="n">
        <v>0.5</v>
      </c>
      <c r="G2" s="15" t="n">
        <v>1</v>
      </c>
      <c r="H2" s="16" t="inlineStr">
        <is>
          <t>6e ch2 : 2 h / 1 = 2.0 h</t>
        </is>
      </c>
    </row>
    <row r="3" ht="15" customHeight="1" s="10">
      <c r="A3" s="17" t="inlineStr">
        <is>
          <t>N.NUM</t>
        </is>
      </c>
      <c r="B3" s="17" t="inlineStr">
        <is>
          <t>Numeration decimale</t>
        </is>
      </c>
      <c r="C3" s="17" t="n">
        <v>2</v>
      </c>
      <c r="D3" s="17" t="inlineStr">
        <is>
          <t>CPT</t>
        </is>
      </c>
      <c r="E3" s="17" t="inlineStr">
        <is>
          <t>Erreur conceptuelle</t>
        </is>
      </c>
      <c r="F3" s="17" t="n">
        <v>0.35</v>
      </c>
      <c r="G3" s="17" t="n">
        <v>0.5</v>
      </c>
      <c r="H3" s="18" t="inlineStr">
        <is>
          <t>6e ch2 : 2 h / 1 = 2.0 h</t>
        </is>
      </c>
    </row>
    <row r="4" ht="15" customHeight="1" s="10">
      <c r="A4" s="15" t="inlineStr">
        <is>
          <t>N.NUM</t>
        </is>
      </c>
      <c r="B4" s="15" t="inlineStr">
        <is>
          <t>Numeration decimale</t>
        </is>
      </c>
      <c r="C4" s="15" t="n">
        <v>2</v>
      </c>
      <c r="D4" s="15" t="inlineStr">
        <is>
          <t>MOD</t>
        </is>
      </c>
      <c r="E4" s="15" t="inlineStr">
        <is>
          <t>Erreur de modelisation</t>
        </is>
      </c>
      <c r="F4" s="15" t="n">
        <v>0.25</v>
      </c>
      <c r="G4" s="15" t="n">
        <v>0.5</v>
      </c>
      <c r="H4" s="16" t="inlineStr">
        <is>
          <t>6e ch2 : 2 h / 1 = 2.0 h</t>
        </is>
      </c>
    </row>
    <row r="5" ht="15" customHeight="1" s="10">
      <c r="A5" s="17" t="inlineStr">
        <is>
          <t>N.NUM</t>
        </is>
      </c>
      <c r="B5" s="17" t="inlineStr">
        <is>
          <t>Numeration decimale</t>
        </is>
      </c>
      <c r="C5" s="17" t="n">
        <v>2</v>
      </c>
      <c r="D5" s="17" t="inlineStr">
        <is>
          <t>PRC</t>
        </is>
      </c>
      <c r="E5" s="17" t="inlineStr">
        <is>
          <t>Erreur procedurale</t>
        </is>
      </c>
      <c r="F5" s="17" t="n">
        <v>0.15</v>
      </c>
      <c r="G5" s="17" t="n">
        <v>0.5</v>
      </c>
      <c r="H5" s="18" t="inlineStr">
        <is>
          <t>6e ch2 : 2 h / 1 = 2.0 h</t>
        </is>
      </c>
    </row>
    <row r="6" ht="15" customHeight="1" s="10">
      <c r="A6" s="15" t="inlineStr">
        <is>
          <t>N.NUM</t>
        </is>
      </c>
      <c r="B6" s="15" t="inlineStr">
        <is>
          <t>Numeration decimale</t>
        </is>
      </c>
      <c r="C6" s="15" t="n">
        <v>2</v>
      </c>
      <c r="D6" s="15" t="inlineStr">
        <is>
          <t>CNS</t>
        </is>
      </c>
      <c r="E6" s="15" t="inlineStr">
        <is>
          <t>Connaissance non disponible</t>
        </is>
      </c>
      <c r="F6" s="15" t="n">
        <v>0.1</v>
      </c>
      <c r="G6" s="15" t="n">
        <v>0.5</v>
      </c>
      <c r="H6" s="16" t="inlineStr">
        <is>
          <t>6e ch2 : 2 h / 1 = 2.0 h</t>
        </is>
      </c>
    </row>
    <row r="7" ht="15" customHeight="1" s="10">
      <c r="A7" s="17" t="inlineStr">
        <is>
          <t>N.NUM</t>
        </is>
      </c>
      <c r="B7" s="17" t="inlineStr">
        <is>
          <t>Numeration decimale</t>
        </is>
      </c>
      <c r="C7" s="17" t="n">
        <v>2</v>
      </c>
      <c r="D7" s="17" t="inlineStr">
        <is>
          <t>RED</t>
        </is>
      </c>
      <c r="E7" s="17" t="inlineStr">
        <is>
          <t>Defaut de redaction ou de justification</t>
        </is>
      </c>
      <c r="F7" s="17" t="n">
        <v>0.15</v>
      </c>
      <c r="G7" s="17" t="n">
        <v>0.5</v>
      </c>
      <c r="H7" s="18" t="inlineStr">
        <is>
          <t>6e ch2 : 2 h / 1 = 2.0 h</t>
        </is>
      </c>
    </row>
    <row r="8" ht="15" customHeight="1" s="10">
      <c r="A8" s="15" t="inlineStr">
        <is>
          <t>N.CMP</t>
        </is>
      </c>
      <c r="B8" s="15" t="inlineStr">
        <is>
          <t>Comparaison et rangement</t>
        </is>
      </c>
      <c r="C8" s="15" t="n">
        <v>3</v>
      </c>
      <c r="D8" s="15" t="inlineStr">
        <is>
          <t>PRQ</t>
        </is>
      </c>
      <c r="E8" s="15" t="inlineStr">
        <is>
          <t>Prerequis manquant</t>
        </is>
      </c>
      <c r="F8" s="15" t="n">
        <v>0.5</v>
      </c>
      <c r="G8" s="15" t="n">
        <v>1.5</v>
      </c>
      <c r="H8" s="16" t="inlineStr">
        <is>
          <t>6e ch7 : 3 h / 1 = 3.0 h</t>
        </is>
      </c>
    </row>
    <row r="9" ht="15" customHeight="1" s="10">
      <c r="A9" s="17" t="inlineStr">
        <is>
          <t>N.CMP</t>
        </is>
      </c>
      <c r="B9" s="17" t="inlineStr">
        <is>
          <t>Comparaison et rangement</t>
        </is>
      </c>
      <c r="C9" s="17" t="n">
        <v>3</v>
      </c>
      <c r="D9" s="17" t="inlineStr">
        <is>
          <t>CPT</t>
        </is>
      </c>
      <c r="E9" s="17" t="inlineStr">
        <is>
          <t>Erreur conceptuelle</t>
        </is>
      </c>
      <c r="F9" s="17" t="n">
        <v>0.35</v>
      </c>
      <c r="G9" s="17" t="n">
        <v>1</v>
      </c>
      <c r="H9" s="18" t="inlineStr">
        <is>
          <t>6e ch7 : 3 h / 1 = 3.0 h</t>
        </is>
      </c>
    </row>
    <row r="10" ht="15" customHeight="1" s="10">
      <c r="A10" s="15" t="inlineStr">
        <is>
          <t>N.CMP</t>
        </is>
      </c>
      <c r="B10" s="15" t="inlineStr">
        <is>
          <t>Comparaison et rangement</t>
        </is>
      </c>
      <c r="C10" s="15" t="n">
        <v>3</v>
      </c>
      <c r="D10" s="15" t="inlineStr">
        <is>
          <t>MOD</t>
        </is>
      </c>
      <c r="E10" s="15" t="inlineStr">
        <is>
          <t>Erreur de modelisation</t>
        </is>
      </c>
      <c r="F10" s="15" t="n">
        <v>0.25</v>
      </c>
      <c r="G10" s="15" t="n">
        <v>1</v>
      </c>
      <c r="H10" s="16" t="inlineStr">
        <is>
          <t>6e ch7 : 3 h / 1 = 3.0 h</t>
        </is>
      </c>
    </row>
    <row r="11" ht="15" customHeight="1" s="10">
      <c r="A11" s="17" t="inlineStr">
        <is>
          <t>N.CMP</t>
        </is>
      </c>
      <c r="B11" s="17" t="inlineStr">
        <is>
          <t>Comparaison et rangement</t>
        </is>
      </c>
      <c r="C11" s="17" t="n">
        <v>3</v>
      </c>
      <c r="D11" s="17" t="inlineStr">
        <is>
          <t>PRC</t>
        </is>
      </c>
      <c r="E11" s="17" t="inlineStr">
        <is>
          <t>Erreur procedurale</t>
        </is>
      </c>
      <c r="F11" s="17" t="n">
        <v>0.15</v>
      </c>
      <c r="G11" s="17" t="n">
        <v>0.5</v>
      </c>
      <c r="H11" s="18" t="inlineStr">
        <is>
          <t>6e ch7 : 3 h / 1 = 3.0 h</t>
        </is>
      </c>
    </row>
    <row r="12" ht="15" customHeight="1" s="10">
      <c r="A12" s="15" t="inlineStr">
        <is>
          <t>N.CMP</t>
        </is>
      </c>
      <c r="B12" s="15" t="inlineStr">
        <is>
          <t>Comparaison et rangement</t>
        </is>
      </c>
      <c r="C12" s="15" t="n">
        <v>3</v>
      </c>
      <c r="D12" s="15" t="inlineStr">
        <is>
          <t>CNS</t>
        </is>
      </c>
      <c r="E12" s="15" t="inlineStr">
        <is>
          <t>Connaissance non disponible</t>
        </is>
      </c>
      <c r="F12" s="15" t="n">
        <v>0.1</v>
      </c>
      <c r="G12" s="15" t="n">
        <v>0.5</v>
      </c>
      <c r="H12" s="16" t="inlineStr">
        <is>
          <t>6e ch7 : 3 h / 1 = 3.0 h</t>
        </is>
      </c>
    </row>
    <row r="13" ht="15" customHeight="1" s="10">
      <c r="A13" s="17" t="inlineStr">
        <is>
          <t>N.CMP</t>
        </is>
      </c>
      <c r="B13" s="17" t="inlineStr">
        <is>
          <t>Comparaison et rangement</t>
        </is>
      </c>
      <c r="C13" s="17" t="n">
        <v>3</v>
      </c>
      <c r="D13" s="17" t="inlineStr">
        <is>
          <t>RED</t>
        </is>
      </c>
      <c r="E13" s="17" t="inlineStr">
        <is>
          <t>Defaut de redaction ou de justification</t>
        </is>
      </c>
      <c r="F13" s="17" t="n">
        <v>0.15</v>
      </c>
      <c r="G13" s="17" t="n">
        <v>0.5</v>
      </c>
      <c r="H13" s="18" t="inlineStr">
        <is>
          <t>6e ch7 : 3 h / 1 = 3.0 h</t>
        </is>
      </c>
    </row>
    <row r="14" ht="15" customHeight="1" s="10">
      <c r="A14" s="15" t="inlineStr">
        <is>
          <t>N.ADD</t>
        </is>
      </c>
      <c r="B14" s="15" t="inlineStr">
        <is>
          <t>Addition et soustraction</t>
        </is>
      </c>
      <c r="C14" s="15" t="n">
        <v>1.5</v>
      </c>
      <c r="D14" s="15" t="inlineStr">
        <is>
          <t>PRQ</t>
        </is>
      </c>
      <c r="E14" s="15" t="inlineStr">
        <is>
          <t>Prerequis manquant</t>
        </is>
      </c>
      <c r="F14" s="15" t="n">
        <v>0.5</v>
      </c>
      <c r="G14" s="15" t="n">
        <v>1</v>
      </c>
      <c r="H14" s="16" t="inlineStr">
        <is>
          <t>6e ch4 : 8 h / 5 = 1.6 h</t>
        </is>
      </c>
    </row>
    <row r="15" ht="15" customHeight="1" s="10">
      <c r="A15" s="17" t="inlineStr">
        <is>
          <t>N.ADD</t>
        </is>
      </c>
      <c r="B15" s="17" t="inlineStr">
        <is>
          <t>Addition et soustraction</t>
        </is>
      </c>
      <c r="C15" s="17" t="n">
        <v>1.5</v>
      </c>
      <c r="D15" s="17" t="inlineStr">
        <is>
          <t>CPT</t>
        </is>
      </c>
      <c r="E15" s="17" t="inlineStr">
        <is>
          <t>Erreur conceptuelle</t>
        </is>
      </c>
      <c r="F15" s="17" t="n">
        <v>0.35</v>
      </c>
      <c r="G15" s="17" t="n">
        <v>0.5</v>
      </c>
      <c r="H15" s="18" t="inlineStr">
        <is>
          <t>6e ch4 : 8 h / 5 = 1.6 h</t>
        </is>
      </c>
    </row>
    <row r="16" ht="15" customHeight="1" s="10">
      <c r="A16" s="15" t="inlineStr">
        <is>
          <t>N.ADD</t>
        </is>
      </c>
      <c r="B16" s="15" t="inlineStr">
        <is>
          <t>Addition et soustraction</t>
        </is>
      </c>
      <c r="C16" s="15" t="n">
        <v>1.5</v>
      </c>
      <c r="D16" s="15" t="inlineStr">
        <is>
          <t>MOD</t>
        </is>
      </c>
      <c r="E16" s="15" t="inlineStr">
        <is>
          <t>Erreur de modelisation</t>
        </is>
      </c>
      <c r="F16" s="15" t="n">
        <v>0.25</v>
      </c>
      <c r="G16" s="15" t="n">
        <v>0.5</v>
      </c>
      <c r="H16" s="16" t="inlineStr">
        <is>
          <t>6e ch4 : 8 h / 5 = 1.6 h</t>
        </is>
      </c>
    </row>
    <row r="17" ht="15" customHeight="1" s="10">
      <c r="A17" s="17" t="inlineStr">
        <is>
          <t>N.ADD</t>
        </is>
      </c>
      <c r="B17" s="17" t="inlineStr">
        <is>
          <t>Addition et soustraction</t>
        </is>
      </c>
      <c r="C17" s="17" t="n">
        <v>1.5</v>
      </c>
      <c r="D17" s="17" t="inlineStr">
        <is>
          <t>PRC</t>
        </is>
      </c>
      <c r="E17" s="17" t="inlineStr">
        <is>
          <t>Erreur procedurale</t>
        </is>
      </c>
      <c r="F17" s="17" t="n">
        <v>0.15</v>
      </c>
      <c r="G17" s="17" t="n">
        <v>0.5</v>
      </c>
      <c r="H17" s="18" t="inlineStr">
        <is>
          <t>6e ch4 : 8 h / 5 = 1.6 h</t>
        </is>
      </c>
    </row>
    <row r="18" ht="15" customHeight="1" s="10">
      <c r="A18" s="15" t="inlineStr">
        <is>
          <t>N.ADD</t>
        </is>
      </c>
      <c r="B18" s="15" t="inlineStr">
        <is>
          <t>Addition et soustraction</t>
        </is>
      </c>
      <c r="C18" s="15" t="n">
        <v>1.5</v>
      </c>
      <c r="D18" s="15" t="inlineStr">
        <is>
          <t>CNS</t>
        </is>
      </c>
      <c r="E18" s="15" t="inlineStr">
        <is>
          <t>Connaissance non disponible</t>
        </is>
      </c>
      <c r="F18" s="15" t="n">
        <v>0.1</v>
      </c>
      <c r="G18" s="15" t="n">
        <v>0.5</v>
      </c>
      <c r="H18" s="16" t="inlineStr">
        <is>
          <t>6e ch4 : 8 h / 5 = 1.6 h</t>
        </is>
      </c>
    </row>
    <row r="19" ht="15" customHeight="1" s="10">
      <c r="A19" s="17" t="inlineStr">
        <is>
          <t>N.ADD</t>
        </is>
      </c>
      <c r="B19" s="17" t="inlineStr">
        <is>
          <t>Addition et soustraction</t>
        </is>
      </c>
      <c r="C19" s="17" t="n">
        <v>1.5</v>
      </c>
      <c r="D19" s="17" t="inlineStr">
        <is>
          <t>RED</t>
        </is>
      </c>
      <c r="E19" s="17" t="inlineStr">
        <is>
          <t>Defaut de redaction ou de justification</t>
        </is>
      </c>
      <c r="F19" s="17" t="n">
        <v>0.15</v>
      </c>
      <c r="G19" s="17" t="n">
        <v>0.5</v>
      </c>
      <c r="H19" s="18" t="inlineStr">
        <is>
          <t>6e ch4 : 8 h / 5 = 1.6 h</t>
        </is>
      </c>
    </row>
    <row r="20" ht="15" customHeight="1" s="10">
      <c r="A20" s="15" t="inlineStr">
        <is>
          <t>N.MUL</t>
        </is>
      </c>
      <c r="B20" s="15" t="inlineStr">
        <is>
          <t>Multiplication</t>
        </is>
      </c>
      <c r="C20" s="15" t="n">
        <v>1.5</v>
      </c>
      <c r="D20" s="15" t="inlineStr">
        <is>
          <t>PRQ</t>
        </is>
      </c>
      <c r="E20" s="15" t="inlineStr">
        <is>
          <t>Prerequis manquant</t>
        </is>
      </c>
      <c r="F20" s="15" t="n">
        <v>0.5</v>
      </c>
      <c r="G20" s="15" t="n">
        <v>1</v>
      </c>
      <c r="H20" s="16" t="inlineStr">
        <is>
          <t>6e ch4 : 8 h / 5 = 1.6 h</t>
        </is>
      </c>
    </row>
    <row r="21" ht="15" customHeight="1" s="10">
      <c r="A21" s="17" t="inlineStr">
        <is>
          <t>N.MUL</t>
        </is>
      </c>
      <c r="B21" s="17" t="inlineStr">
        <is>
          <t>Multiplication</t>
        </is>
      </c>
      <c r="C21" s="17" t="n">
        <v>1.5</v>
      </c>
      <c r="D21" s="17" t="inlineStr">
        <is>
          <t>CPT</t>
        </is>
      </c>
      <c r="E21" s="17" t="inlineStr">
        <is>
          <t>Erreur conceptuelle</t>
        </is>
      </c>
      <c r="F21" s="17" t="n">
        <v>0.35</v>
      </c>
      <c r="G21" s="17" t="n">
        <v>0.5</v>
      </c>
      <c r="H21" s="18" t="inlineStr">
        <is>
          <t>6e ch4 : 8 h / 5 = 1.6 h</t>
        </is>
      </c>
    </row>
    <row r="22" ht="15" customHeight="1" s="10">
      <c r="A22" s="15" t="inlineStr">
        <is>
          <t>N.MUL</t>
        </is>
      </c>
      <c r="B22" s="15" t="inlineStr">
        <is>
          <t>Multiplication</t>
        </is>
      </c>
      <c r="C22" s="15" t="n">
        <v>1.5</v>
      </c>
      <c r="D22" s="15" t="inlineStr">
        <is>
          <t>MOD</t>
        </is>
      </c>
      <c r="E22" s="15" t="inlineStr">
        <is>
          <t>Erreur de modelisation</t>
        </is>
      </c>
      <c r="F22" s="15" t="n">
        <v>0.25</v>
      </c>
      <c r="G22" s="15" t="n">
        <v>0.5</v>
      </c>
      <c r="H22" s="16" t="inlineStr">
        <is>
          <t>6e ch4 : 8 h / 5 = 1.6 h</t>
        </is>
      </c>
    </row>
    <row r="23" ht="15" customHeight="1" s="10">
      <c r="A23" s="17" t="inlineStr">
        <is>
          <t>N.MUL</t>
        </is>
      </c>
      <c r="B23" s="17" t="inlineStr">
        <is>
          <t>Multiplication</t>
        </is>
      </c>
      <c r="C23" s="17" t="n">
        <v>1.5</v>
      </c>
      <c r="D23" s="17" t="inlineStr">
        <is>
          <t>PRC</t>
        </is>
      </c>
      <c r="E23" s="17" t="inlineStr">
        <is>
          <t>Erreur procedurale</t>
        </is>
      </c>
      <c r="F23" s="17" t="n">
        <v>0.15</v>
      </c>
      <c r="G23" s="17" t="n">
        <v>0.5</v>
      </c>
      <c r="H23" s="18" t="inlineStr">
        <is>
          <t>6e ch4 : 8 h / 5 = 1.6 h</t>
        </is>
      </c>
    </row>
    <row r="24" ht="15" customHeight="1" s="10">
      <c r="A24" s="15" t="inlineStr">
        <is>
          <t>N.MUL</t>
        </is>
      </c>
      <c r="B24" s="15" t="inlineStr">
        <is>
          <t>Multiplication</t>
        </is>
      </c>
      <c r="C24" s="15" t="n">
        <v>1.5</v>
      </c>
      <c r="D24" s="15" t="inlineStr">
        <is>
          <t>CNS</t>
        </is>
      </c>
      <c r="E24" s="15" t="inlineStr">
        <is>
          <t>Connaissance non disponible</t>
        </is>
      </c>
      <c r="F24" s="15" t="n">
        <v>0.1</v>
      </c>
      <c r="G24" s="15" t="n">
        <v>0.5</v>
      </c>
      <c r="H24" s="16" t="inlineStr">
        <is>
          <t>6e ch4 : 8 h / 5 = 1.6 h</t>
        </is>
      </c>
    </row>
    <row r="25" ht="15" customHeight="1" s="10">
      <c r="A25" s="17" t="inlineStr">
        <is>
          <t>N.MUL</t>
        </is>
      </c>
      <c r="B25" s="17" t="inlineStr">
        <is>
          <t>Multiplication</t>
        </is>
      </c>
      <c r="C25" s="17" t="n">
        <v>1.5</v>
      </c>
      <c r="D25" s="17" t="inlineStr">
        <is>
          <t>RED</t>
        </is>
      </c>
      <c r="E25" s="17" t="inlineStr">
        <is>
          <t>Defaut de redaction ou de justification</t>
        </is>
      </c>
      <c r="F25" s="17" t="n">
        <v>0.15</v>
      </c>
      <c r="G25" s="17" t="n">
        <v>0.5</v>
      </c>
      <c r="H25" s="18" t="inlineStr">
        <is>
          <t>6e ch4 : 8 h / 5 = 1.6 h</t>
        </is>
      </c>
    </row>
    <row r="26" ht="15" customHeight="1" s="10">
      <c r="A26" s="15" t="inlineStr">
        <is>
          <t>N.DIVE</t>
        </is>
      </c>
      <c r="B26" s="15" t="inlineStr">
        <is>
          <t>Division euclidienne et decimale</t>
        </is>
      </c>
      <c r="C26" s="15" t="n">
        <v>1.5</v>
      </c>
      <c r="D26" s="15" t="inlineStr">
        <is>
          <t>PRQ</t>
        </is>
      </c>
      <c r="E26" s="15" t="inlineStr">
        <is>
          <t>Prerequis manquant</t>
        </is>
      </c>
      <c r="F26" s="15" t="n">
        <v>0.5</v>
      </c>
      <c r="G26" s="15" t="n">
        <v>1</v>
      </c>
      <c r="H26" s="16" t="inlineStr">
        <is>
          <t>6e ch4 : 8 h / 5 = 1.6 h</t>
        </is>
      </c>
    </row>
    <row r="27" ht="15" customHeight="1" s="10">
      <c r="A27" s="17" t="inlineStr">
        <is>
          <t>N.DIVE</t>
        </is>
      </c>
      <c r="B27" s="17" t="inlineStr">
        <is>
          <t>Division euclidienne et decimale</t>
        </is>
      </c>
      <c r="C27" s="17" t="n">
        <v>1.5</v>
      </c>
      <c r="D27" s="17" t="inlineStr">
        <is>
          <t>CPT</t>
        </is>
      </c>
      <c r="E27" s="17" t="inlineStr">
        <is>
          <t>Erreur conceptuelle</t>
        </is>
      </c>
      <c r="F27" s="17" t="n">
        <v>0.35</v>
      </c>
      <c r="G27" s="17" t="n">
        <v>0.5</v>
      </c>
      <c r="H27" s="18" t="inlineStr">
        <is>
          <t>6e ch4 : 8 h / 5 = 1.6 h</t>
        </is>
      </c>
    </row>
    <row r="28" ht="15" customHeight="1" s="10">
      <c r="A28" s="15" t="inlineStr">
        <is>
          <t>N.DIVE</t>
        </is>
      </c>
      <c r="B28" s="15" t="inlineStr">
        <is>
          <t>Division euclidienne et decimale</t>
        </is>
      </c>
      <c r="C28" s="15" t="n">
        <v>1.5</v>
      </c>
      <c r="D28" s="15" t="inlineStr">
        <is>
          <t>MOD</t>
        </is>
      </c>
      <c r="E28" s="15" t="inlineStr">
        <is>
          <t>Erreur de modelisation</t>
        </is>
      </c>
      <c r="F28" s="15" t="n">
        <v>0.25</v>
      </c>
      <c r="G28" s="15" t="n">
        <v>0.5</v>
      </c>
      <c r="H28" s="16" t="inlineStr">
        <is>
          <t>6e ch4 : 8 h / 5 = 1.6 h</t>
        </is>
      </c>
    </row>
    <row r="29" ht="15" customHeight="1" s="10">
      <c r="A29" s="17" t="inlineStr">
        <is>
          <t>N.DIVE</t>
        </is>
      </c>
      <c r="B29" s="17" t="inlineStr">
        <is>
          <t>Division euclidienne et decimale</t>
        </is>
      </c>
      <c r="C29" s="17" t="n">
        <v>1.5</v>
      </c>
      <c r="D29" s="17" t="inlineStr">
        <is>
          <t>PRC</t>
        </is>
      </c>
      <c r="E29" s="17" t="inlineStr">
        <is>
          <t>Erreur procedurale</t>
        </is>
      </c>
      <c r="F29" s="17" t="n">
        <v>0.15</v>
      </c>
      <c r="G29" s="17" t="n">
        <v>0.5</v>
      </c>
      <c r="H29" s="18" t="inlineStr">
        <is>
          <t>6e ch4 : 8 h / 5 = 1.6 h</t>
        </is>
      </c>
    </row>
    <row r="30" ht="15" customHeight="1" s="10">
      <c r="A30" s="15" t="inlineStr">
        <is>
          <t>N.DIVE</t>
        </is>
      </c>
      <c r="B30" s="15" t="inlineStr">
        <is>
          <t>Division euclidienne et decimale</t>
        </is>
      </c>
      <c r="C30" s="15" t="n">
        <v>1.5</v>
      </c>
      <c r="D30" s="15" t="inlineStr">
        <is>
          <t>CNS</t>
        </is>
      </c>
      <c r="E30" s="15" t="inlineStr">
        <is>
          <t>Connaissance non disponible</t>
        </is>
      </c>
      <c r="F30" s="15" t="n">
        <v>0.1</v>
      </c>
      <c r="G30" s="15" t="n">
        <v>0.5</v>
      </c>
      <c r="H30" s="16" t="inlineStr">
        <is>
          <t>6e ch4 : 8 h / 5 = 1.6 h</t>
        </is>
      </c>
    </row>
    <row r="31" ht="15" customHeight="1" s="10">
      <c r="A31" s="17" t="inlineStr">
        <is>
          <t>N.DIVE</t>
        </is>
      </c>
      <c r="B31" s="17" t="inlineStr">
        <is>
          <t>Division euclidienne et decimale</t>
        </is>
      </c>
      <c r="C31" s="17" t="n">
        <v>1.5</v>
      </c>
      <c r="D31" s="17" t="inlineStr">
        <is>
          <t>RED</t>
        </is>
      </c>
      <c r="E31" s="17" t="inlineStr">
        <is>
          <t>Defaut de redaction ou de justification</t>
        </is>
      </c>
      <c r="F31" s="17" t="n">
        <v>0.15</v>
      </c>
      <c r="G31" s="17" t="n">
        <v>0.5</v>
      </c>
      <c r="H31" s="18" t="inlineStr">
        <is>
          <t>6e ch4 : 8 h / 5 = 1.6 h</t>
        </is>
      </c>
    </row>
    <row r="32" ht="15" customHeight="1" s="10">
      <c r="A32" s="15" t="inlineStr">
        <is>
          <t>N.PRIO</t>
        </is>
      </c>
      <c r="B32" s="15" t="inlineStr">
        <is>
          <t>Priorites operatoires</t>
        </is>
      </c>
      <c r="C32" s="15" t="n">
        <v>1.5</v>
      </c>
      <c r="D32" s="15" t="inlineStr">
        <is>
          <t>PRQ</t>
        </is>
      </c>
      <c r="E32" s="15" t="inlineStr">
        <is>
          <t>Prerequis manquant</t>
        </is>
      </c>
      <c r="F32" s="15" t="n">
        <v>0.5</v>
      </c>
      <c r="G32" s="15" t="n">
        <v>1</v>
      </c>
      <c r="H32" s="16" t="inlineStr">
        <is>
          <t>6e ch4 : 8 h / 5 = 1.6 h</t>
        </is>
      </c>
    </row>
    <row r="33" ht="15" customHeight="1" s="10">
      <c r="A33" s="17" t="inlineStr">
        <is>
          <t>N.PRIO</t>
        </is>
      </c>
      <c r="B33" s="17" t="inlineStr">
        <is>
          <t>Priorites operatoires</t>
        </is>
      </c>
      <c r="C33" s="17" t="n">
        <v>1.5</v>
      </c>
      <c r="D33" s="17" t="inlineStr">
        <is>
          <t>CPT</t>
        </is>
      </c>
      <c r="E33" s="17" t="inlineStr">
        <is>
          <t>Erreur conceptuelle</t>
        </is>
      </c>
      <c r="F33" s="17" t="n">
        <v>0.35</v>
      </c>
      <c r="G33" s="17" t="n">
        <v>0.5</v>
      </c>
      <c r="H33" s="18" t="inlineStr">
        <is>
          <t>6e ch4 : 8 h / 5 = 1.6 h</t>
        </is>
      </c>
    </row>
    <row r="34" ht="15" customHeight="1" s="10">
      <c r="A34" s="15" t="inlineStr">
        <is>
          <t>N.PRIO</t>
        </is>
      </c>
      <c r="B34" s="15" t="inlineStr">
        <is>
          <t>Priorites operatoires</t>
        </is>
      </c>
      <c r="C34" s="15" t="n">
        <v>1.5</v>
      </c>
      <c r="D34" s="15" t="inlineStr">
        <is>
          <t>MOD</t>
        </is>
      </c>
      <c r="E34" s="15" t="inlineStr">
        <is>
          <t>Erreur de modelisation</t>
        </is>
      </c>
      <c r="F34" s="15" t="n">
        <v>0.25</v>
      </c>
      <c r="G34" s="15" t="n">
        <v>0.5</v>
      </c>
      <c r="H34" s="16" t="inlineStr">
        <is>
          <t>6e ch4 : 8 h / 5 = 1.6 h</t>
        </is>
      </c>
    </row>
    <row r="35" ht="15" customHeight="1" s="10">
      <c r="A35" s="17" t="inlineStr">
        <is>
          <t>N.PRIO</t>
        </is>
      </c>
      <c r="B35" s="17" t="inlineStr">
        <is>
          <t>Priorites operatoires</t>
        </is>
      </c>
      <c r="C35" s="17" t="n">
        <v>1.5</v>
      </c>
      <c r="D35" s="17" t="inlineStr">
        <is>
          <t>PRC</t>
        </is>
      </c>
      <c r="E35" s="17" t="inlineStr">
        <is>
          <t>Erreur procedurale</t>
        </is>
      </c>
      <c r="F35" s="17" t="n">
        <v>0.15</v>
      </c>
      <c r="G35" s="17" t="n">
        <v>0.5</v>
      </c>
      <c r="H35" s="18" t="inlineStr">
        <is>
          <t>6e ch4 : 8 h / 5 = 1.6 h</t>
        </is>
      </c>
    </row>
    <row r="36" ht="15" customHeight="1" s="10">
      <c r="A36" s="15" t="inlineStr">
        <is>
          <t>N.PRIO</t>
        </is>
      </c>
      <c r="B36" s="15" t="inlineStr">
        <is>
          <t>Priorites operatoires</t>
        </is>
      </c>
      <c r="C36" s="15" t="n">
        <v>1.5</v>
      </c>
      <c r="D36" s="15" t="inlineStr">
        <is>
          <t>CNS</t>
        </is>
      </c>
      <c r="E36" s="15" t="inlineStr">
        <is>
          <t>Connaissance non disponible</t>
        </is>
      </c>
      <c r="F36" s="15" t="n">
        <v>0.1</v>
      </c>
      <c r="G36" s="15" t="n">
        <v>0.5</v>
      </c>
      <c r="H36" s="16" t="inlineStr">
        <is>
          <t>6e ch4 : 8 h / 5 = 1.6 h</t>
        </is>
      </c>
    </row>
    <row r="37" ht="15" customHeight="1" s="10">
      <c r="A37" s="17" t="inlineStr">
        <is>
          <t>N.PRIO</t>
        </is>
      </c>
      <c r="B37" s="17" t="inlineStr">
        <is>
          <t>Priorites operatoires</t>
        </is>
      </c>
      <c r="C37" s="17" t="n">
        <v>1.5</v>
      </c>
      <c r="D37" s="17" t="inlineStr">
        <is>
          <t>RED</t>
        </is>
      </c>
      <c r="E37" s="17" t="inlineStr">
        <is>
          <t>Defaut de redaction ou de justification</t>
        </is>
      </c>
      <c r="F37" s="17" t="n">
        <v>0.15</v>
      </c>
      <c r="G37" s="17" t="n">
        <v>0.5</v>
      </c>
      <c r="H37" s="18" t="inlineStr">
        <is>
          <t>6e ch4 : 8 h / 5 = 1.6 h</t>
        </is>
      </c>
    </row>
    <row r="38" ht="15" customHeight="1" s="10">
      <c r="A38" s="15" t="inlineStr">
        <is>
          <t>N.AST</t>
        </is>
      </c>
      <c r="B38" s="15" t="inlineStr">
        <is>
          <t>Calcul astucieux</t>
        </is>
      </c>
      <c r="C38" s="15" t="n">
        <v>1.5</v>
      </c>
      <c r="D38" s="15" t="inlineStr">
        <is>
          <t>PRQ</t>
        </is>
      </c>
      <c r="E38" s="15" t="inlineStr">
        <is>
          <t>Prerequis manquant</t>
        </is>
      </c>
      <c r="F38" s="15" t="n">
        <v>0.5</v>
      </c>
      <c r="G38" s="15" t="n">
        <v>1</v>
      </c>
      <c r="H38" s="16" t="inlineStr">
        <is>
          <t>6e ch4 : 8 h / 5 = 1.6 h</t>
        </is>
      </c>
    </row>
    <row r="39" ht="15" customHeight="1" s="10">
      <c r="A39" s="17" t="inlineStr">
        <is>
          <t>N.AST</t>
        </is>
      </c>
      <c r="B39" s="17" t="inlineStr">
        <is>
          <t>Calcul astucieux</t>
        </is>
      </c>
      <c r="C39" s="17" t="n">
        <v>1.5</v>
      </c>
      <c r="D39" s="17" t="inlineStr">
        <is>
          <t>CPT</t>
        </is>
      </c>
      <c r="E39" s="17" t="inlineStr">
        <is>
          <t>Erreur conceptuelle</t>
        </is>
      </c>
      <c r="F39" s="17" t="n">
        <v>0.35</v>
      </c>
      <c r="G39" s="17" t="n">
        <v>0.5</v>
      </c>
      <c r="H39" s="18" t="inlineStr">
        <is>
          <t>6e ch4 : 8 h / 5 = 1.6 h</t>
        </is>
      </c>
    </row>
    <row r="40" ht="15" customHeight="1" s="10">
      <c r="A40" s="15" t="inlineStr">
        <is>
          <t>N.AST</t>
        </is>
      </c>
      <c r="B40" s="15" t="inlineStr">
        <is>
          <t>Calcul astucieux</t>
        </is>
      </c>
      <c r="C40" s="15" t="n">
        <v>1.5</v>
      </c>
      <c r="D40" s="15" t="inlineStr">
        <is>
          <t>MOD</t>
        </is>
      </c>
      <c r="E40" s="15" t="inlineStr">
        <is>
          <t>Erreur de modelisation</t>
        </is>
      </c>
      <c r="F40" s="15" t="n">
        <v>0.25</v>
      </c>
      <c r="G40" s="15" t="n">
        <v>0.5</v>
      </c>
      <c r="H40" s="16" t="inlineStr">
        <is>
          <t>6e ch4 : 8 h / 5 = 1.6 h</t>
        </is>
      </c>
    </row>
    <row r="41" ht="15" customHeight="1" s="10">
      <c r="A41" s="17" t="inlineStr">
        <is>
          <t>N.AST</t>
        </is>
      </c>
      <c r="B41" s="17" t="inlineStr">
        <is>
          <t>Calcul astucieux</t>
        </is>
      </c>
      <c r="C41" s="17" t="n">
        <v>1.5</v>
      </c>
      <c r="D41" s="17" t="inlineStr">
        <is>
          <t>PRC</t>
        </is>
      </c>
      <c r="E41" s="17" t="inlineStr">
        <is>
          <t>Erreur procedurale</t>
        </is>
      </c>
      <c r="F41" s="17" t="n">
        <v>0.15</v>
      </c>
      <c r="G41" s="17" t="n">
        <v>0.5</v>
      </c>
      <c r="H41" s="18" t="inlineStr">
        <is>
          <t>6e ch4 : 8 h / 5 = 1.6 h</t>
        </is>
      </c>
    </row>
    <row r="42" ht="15" customHeight="1" s="10">
      <c r="A42" s="15" t="inlineStr">
        <is>
          <t>N.AST</t>
        </is>
      </c>
      <c r="B42" s="15" t="inlineStr">
        <is>
          <t>Calcul astucieux</t>
        </is>
      </c>
      <c r="C42" s="15" t="n">
        <v>1.5</v>
      </c>
      <c r="D42" s="15" t="inlineStr">
        <is>
          <t>CNS</t>
        </is>
      </c>
      <c r="E42" s="15" t="inlineStr">
        <is>
          <t>Connaissance non disponible</t>
        </is>
      </c>
      <c r="F42" s="15" t="n">
        <v>0.1</v>
      </c>
      <c r="G42" s="15" t="n">
        <v>0.5</v>
      </c>
      <c r="H42" s="16" t="inlineStr">
        <is>
          <t>6e ch4 : 8 h / 5 = 1.6 h</t>
        </is>
      </c>
    </row>
    <row r="43" ht="15" customHeight="1" s="10">
      <c r="A43" s="17" t="inlineStr">
        <is>
          <t>N.AST</t>
        </is>
      </c>
      <c r="B43" s="17" t="inlineStr">
        <is>
          <t>Calcul astucieux</t>
        </is>
      </c>
      <c r="C43" s="17" t="n">
        <v>1.5</v>
      </c>
      <c r="D43" s="17" t="inlineStr">
        <is>
          <t>RED</t>
        </is>
      </c>
      <c r="E43" s="17" t="inlineStr">
        <is>
          <t>Defaut de redaction ou de justification</t>
        </is>
      </c>
      <c r="F43" s="17" t="n">
        <v>0.15</v>
      </c>
      <c r="G43" s="17" t="n">
        <v>0.5</v>
      </c>
      <c r="H43" s="18" t="inlineStr">
        <is>
          <t>6e ch4 : 8 h / 5 = 1.6 h</t>
        </is>
      </c>
    </row>
    <row r="44" ht="15" customHeight="1" s="10">
      <c r="A44" s="15" t="inlineStr">
        <is>
          <t>N.PROB</t>
        </is>
      </c>
      <c r="B44" s="15" t="inlineStr">
        <is>
          <t>Choix de l'operation</t>
        </is>
      </c>
      <c r="C44" s="15" t="n">
        <v>4</v>
      </c>
      <c r="D44" s="15" t="inlineStr">
        <is>
          <t>PRQ</t>
        </is>
      </c>
      <c r="E44" s="15" t="inlineStr">
        <is>
          <t>Prerequis manquant</t>
        </is>
      </c>
      <c r="F44" s="15" t="n">
        <v>0.5</v>
      </c>
      <c r="G44" s="15" t="n">
        <v>2</v>
      </c>
      <c r="H44" s="16" t="inlineStr">
        <is>
          <t>estimation</t>
        </is>
      </c>
    </row>
    <row r="45" ht="15" customHeight="1" s="10">
      <c r="A45" s="17" t="inlineStr">
        <is>
          <t>N.PROB</t>
        </is>
      </c>
      <c r="B45" s="17" t="inlineStr">
        <is>
          <t>Choix de l'operation</t>
        </is>
      </c>
      <c r="C45" s="17" t="n">
        <v>4</v>
      </c>
      <c r="D45" s="17" t="inlineStr">
        <is>
          <t>CPT</t>
        </is>
      </c>
      <c r="E45" s="17" t="inlineStr">
        <is>
          <t>Erreur conceptuelle</t>
        </is>
      </c>
      <c r="F45" s="17" t="n">
        <v>0.35</v>
      </c>
      <c r="G45" s="17" t="n">
        <v>1.5</v>
      </c>
      <c r="H45" s="18" t="inlineStr">
        <is>
          <t>estimation</t>
        </is>
      </c>
    </row>
    <row r="46" ht="15" customHeight="1" s="10">
      <c r="A46" s="15" t="inlineStr">
        <is>
          <t>N.PROB</t>
        </is>
      </c>
      <c r="B46" s="15" t="inlineStr">
        <is>
          <t>Choix de l'operation</t>
        </is>
      </c>
      <c r="C46" s="15" t="n">
        <v>4</v>
      </c>
      <c r="D46" s="15" t="inlineStr">
        <is>
          <t>MOD</t>
        </is>
      </c>
      <c r="E46" s="15" t="inlineStr">
        <is>
          <t>Erreur de modelisation</t>
        </is>
      </c>
      <c r="F46" s="15" t="n">
        <v>0.25</v>
      </c>
      <c r="G46" s="15" t="n">
        <v>1</v>
      </c>
      <c r="H46" s="16" t="inlineStr">
        <is>
          <t>estimation</t>
        </is>
      </c>
    </row>
    <row r="47" ht="15" customHeight="1" s="10">
      <c r="A47" s="17" t="inlineStr">
        <is>
          <t>N.PROB</t>
        </is>
      </c>
      <c r="B47" s="17" t="inlineStr">
        <is>
          <t>Choix de l'operation</t>
        </is>
      </c>
      <c r="C47" s="17" t="n">
        <v>4</v>
      </c>
      <c r="D47" s="17" t="inlineStr">
        <is>
          <t>PRC</t>
        </is>
      </c>
      <c r="E47" s="17" t="inlineStr">
        <is>
          <t>Erreur procedurale</t>
        </is>
      </c>
      <c r="F47" s="17" t="n">
        <v>0.15</v>
      </c>
      <c r="G47" s="17" t="n">
        <v>0.5</v>
      </c>
      <c r="H47" s="18" t="inlineStr">
        <is>
          <t>estimation</t>
        </is>
      </c>
    </row>
    <row r="48" ht="15" customHeight="1" s="10">
      <c r="A48" s="15" t="inlineStr">
        <is>
          <t>N.PROB</t>
        </is>
      </c>
      <c r="B48" s="15" t="inlineStr">
        <is>
          <t>Choix de l'operation</t>
        </is>
      </c>
      <c r="C48" s="15" t="n">
        <v>4</v>
      </c>
      <c r="D48" s="15" t="inlineStr">
        <is>
          <t>CNS</t>
        </is>
      </c>
      <c r="E48" s="15" t="inlineStr">
        <is>
          <t>Connaissance non disponible</t>
        </is>
      </c>
      <c r="F48" s="15" t="n">
        <v>0.1</v>
      </c>
      <c r="G48" s="15" t="n">
        <v>0.5</v>
      </c>
      <c r="H48" s="16" t="inlineStr">
        <is>
          <t>estimation</t>
        </is>
      </c>
    </row>
    <row r="49" ht="15" customHeight="1" s="10">
      <c r="A49" s="17" t="inlineStr">
        <is>
          <t>N.PROB</t>
        </is>
      </c>
      <c r="B49" s="17" t="inlineStr">
        <is>
          <t>Choix de l'operation</t>
        </is>
      </c>
      <c r="C49" s="17" t="n">
        <v>4</v>
      </c>
      <c r="D49" s="17" t="inlineStr">
        <is>
          <t>RED</t>
        </is>
      </c>
      <c r="E49" s="17" t="inlineStr">
        <is>
          <t>Defaut de redaction ou de justification</t>
        </is>
      </c>
      <c r="F49" s="17" t="n">
        <v>0.15</v>
      </c>
      <c r="G49" s="17" t="n">
        <v>0.5</v>
      </c>
      <c r="H49" s="18" t="inlineStr">
        <is>
          <t>estimation</t>
        </is>
      </c>
    </row>
    <row r="50" ht="15" customHeight="1" s="10">
      <c r="A50" s="15" t="inlineStr">
        <is>
          <t>N.FRA1</t>
        </is>
      </c>
      <c r="B50" s="15" t="inlineStr">
        <is>
          <t>Fractions : sens et comparaison</t>
        </is>
      </c>
      <c r="C50" s="15" t="n">
        <v>8</v>
      </c>
      <c r="D50" s="15" t="inlineStr">
        <is>
          <t>PRQ</t>
        </is>
      </c>
      <c r="E50" s="15" t="inlineStr">
        <is>
          <t>Prerequis manquant</t>
        </is>
      </c>
      <c r="F50" s="15" t="n">
        <v>0.5</v>
      </c>
      <c r="G50" s="15" t="n">
        <v>4</v>
      </c>
      <c r="H50" s="16" t="inlineStr">
        <is>
          <t>6e ch12 : 8 h / 1 = 8.0 h</t>
        </is>
      </c>
    </row>
    <row r="51" ht="15" customHeight="1" s="10">
      <c r="A51" s="17" t="inlineStr">
        <is>
          <t>N.FRA1</t>
        </is>
      </c>
      <c r="B51" s="17" t="inlineStr">
        <is>
          <t>Fractions : sens et comparaison</t>
        </is>
      </c>
      <c r="C51" s="17" t="n">
        <v>8</v>
      </c>
      <c r="D51" s="17" t="inlineStr">
        <is>
          <t>CPT</t>
        </is>
      </c>
      <c r="E51" s="17" t="inlineStr">
        <is>
          <t>Erreur conceptuelle</t>
        </is>
      </c>
      <c r="F51" s="17" t="n">
        <v>0.35</v>
      </c>
      <c r="G51" s="17" t="n">
        <v>3</v>
      </c>
      <c r="H51" s="18" t="inlineStr">
        <is>
          <t>6e ch12 : 8 h / 1 = 8.0 h</t>
        </is>
      </c>
    </row>
    <row r="52" ht="15" customHeight="1" s="10">
      <c r="A52" s="15" t="inlineStr">
        <is>
          <t>N.FRA1</t>
        </is>
      </c>
      <c r="B52" s="15" t="inlineStr">
        <is>
          <t>Fractions : sens et comparaison</t>
        </is>
      </c>
      <c r="C52" s="15" t="n">
        <v>8</v>
      </c>
      <c r="D52" s="15" t="inlineStr">
        <is>
          <t>MOD</t>
        </is>
      </c>
      <c r="E52" s="15" t="inlineStr">
        <is>
          <t>Erreur de modelisation</t>
        </is>
      </c>
      <c r="F52" s="15" t="n">
        <v>0.25</v>
      </c>
      <c r="G52" s="15" t="n">
        <v>2</v>
      </c>
      <c r="H52" s="16" t="inlineStr">
        <is>
          <t>6e ch12 : 8 h / 1 = 8.0 h</t>
        </is>
      </c>
    </row>
    <row r="53" ht="15" customHeight="1" s="10">
      <c r="A53" s="17" t="inlineStr">
        <is>
          <t>N.FRA1</t>
        </is>
      </c>
      <c r="B53" s="17" t="inlineStr">
        <is>
          <t>Fractions : sens et comparaison</t>
        </is>
      </c>
      <c r="C53" s="17" t="n">
        <v>8</v>
      </c>
      <c r="D53" s="17" t="inlineStr">
        <is>
          <t>PRC</t>
        </is>
      </c>
      <c r="E53" s="17" t="inlineStr">
        <is>
          <t>Erreur procedurale</t>
        </is>
      </c>
      <c r="F53" s="17" t="n">
        <v>0.15</v>
      </c>
      <c r="G53" s="17" t="n">
        <v>1</v>
      </c>
      <c r="H53" s="18" t="inlineStr">
        <is>
          <t>6e ch12 : 8 h / 1 = 8.0 h</t>
        </is>
      </c>
    </row>
    <row r="54" ht="15" customHeight="1" s="10">
      <c r="A54" s="15" t="inlineStr">
        <is>
          <t>N.FRA1</t>
        </is>
      </c>
      <c r="B54" s="15" t="inlineStr">
        <is>
          <t>Fractions : sens et comparaison</t>
        </is>
      </c>
      <c r="C54" s="15" t="n">
        <v>8</v>
      </c>
      <c r="D54" s="15" t="inlineStr">
        <is>
          <t>CNS</t>
        </is>
      </c>
      <c r="E54" s="15" t="inlineStr">
        <is>
          <t>Connaissance non disponible</t>
        </is>
      </c>
      <c r="F54" s="15" t="n">
        <v>0.1</v>
      </c>
      <c r="G54" s="15" t="n">
        <v>1</v>
      </c>
      <c r="H54" s="16" t="inlineStr">
        <is>
          <t>6e ch12 : 8 h / 1 = 8.0 h</t>
        </is>
      </c>
    </row>
    <row r="55" ht="15" customHeight="1" s="10">
      <c r="A55" s="17" t="inlineStr">
        <is>
          <t>N.FRA1</t>
        </is>
      </c>
      <c r="B55" s="17" t="inlineStr">
        <is>
          <t>Fractions : sens et comparaison</t>
        </is>
      </c>
      <c r="C55" s="17" t="n">
        <v>8</v>
      </c>
      <c r="D55" s="17" t="inlineStr">
        <is>
          <t>RED</t>
        </is>
      </c>
      <c r="E55" s="17" t="inlineStr">
        <is>
          <t>Defaut de redaction ou de justification</t>
        </is>
      </c>
      <c r="F55" s="17" t="n">
        <v>0.15</v>
      </c>
      <c r="G55" s="17" t="n">
        <v>1</v>
      </c>
      <c r="H55" s="18" t="inlineStr">
        <is>
          <t>6e ch12 : 8 h / 1 = 8.0 h</t>
        </is>
      </c>
    </row>
    <row r="56" ht="15" customHeight="1" s="10">
      <c r="A56" s="15" t="inlineStr">
        <is>
          <t>N.EGT</t>
        </is>
      </c>
      <c r="B56" s="15" t="inlineStr">
        <is>
          <t>Egalites a trous</t>
        </is>
      </c>
      <c r="C56" s="15" t="n">
        <v>2</v>
      </c>
      <c r="D56" s="15" t="inlineStr">
        <is>
          <t>PRQ</t>
        </is>
      </c>
      <c r="E56" s="15" t="inlineStr">
        <is>
          <t>Prerequis manquant</t>
        </is>
      </c>
      <c r="F56" s="15" t="n">
        <v>0.5</v>
      </c>
      <c r="G56" s="15" t="n">
        <v>1</v>
      </c>
      <c r="H56" s="16" t="inlineStr">
        <is>
          <t>6e ch13 : 2 h / 1 = 2.0 h</t>
        </is>
      </c>
    </row>
    <row r="57" ht="15" customHeight="1" s="10">
      <c r="A57" s="17" t="inlineStr">
        <is>
          <t>N.EGT</t>
        </is>
      </c>
      <c r="B57" s="17" t="inlineStr">
        <is>
          <t>Egalites a trous</t>
        </is>
      </c>
      <c r="C57" s="17" t="n">
        <v>2</v>
      </c>
      <c r="D57" s="17" t="inlineStr">
        <is>
          <t>CPT</t>
        </is>
      </c>
      <c r="E57" s="17" t="inlineStr">
        <is>
          <t>Erreur conceptuelle</t>
        </is>
      </c>
      <c r="F57" s="17" t="n">
        <v>0.35</v>
      </c>
      <c r="G57" s="17" t="n">
        <v>0.5</v>
      </c>
      <c r="H57" s="18" t="inlineStr">
        <is>
          <t>6e ch13 : 2 h / 1 = 2.0 h</t>
        </is>
      </c>
    </row>
    <row r="58" ht="15" customHeight="1" s="10">
      <c r="A58" s="15" t="inlineStr">
        <is>
          <t>N.EGT</t>
        </is>
      </c>
      <c r="B58" s="15" t="inlineStr">
        <is>
          <t>Egalites a trous</t>
        </is>
      </c>
      <c r="C58" s="15" t="n">
        <v>2</v>
      </c>
      <c r="D58" s="15" t="inlineStr">
        <is>
          <t>MOD</t>
        </is>
      </c>
      <c r="E58" s="15" t="inlineStr">
        <is>
          <t>Erreur de modelisation</t>
        </is>
      </c>
      <c r="F58" s="15" t="n">
        <v>0.25</v>
      </c>
      <c r="G58" s="15" t="n">
        <v>0.5</v>
      </c>
      <c r="H58" s="16" t="inlineStr">
        <is>
          <t>6e ch13 : 2 h / 1 = 2.0 h</t>
        </is>
      </c>
    </row>
    <row r="59" ht="15" customHeight="1" s="10">
      <c r="A59" s="17" t="inlineStr">
        <is>
          <t>N.EGT</t>
        </is>
      </c>
      <c r="B59" s="17" t="inlineStr">
        <is>
          <t>Egalites a trous</t>
        </is>
      </c>
      <c r="C59" s="17" t="n">
        <v>2</v>
      </c>
      <c r="D59" s="17" t="inlineStr">
        <is>
          <t>PRC</t>
        </is>
      </c>
      <c r="E59" s="17" t="inlineStr">
        <is>
          <t>Erreur procedurale</t>
        </is>
      </c>
      <c r="F59" s="17" t="n">
        <v>0.15</v>
      </c>
      <c r="G59" s="17" t="n">
        <v>0.5</v>
      </c>
      <c r="H59" s="18" t="inlineStr">
        <is>
          <t>6e ch13 : 2 h / 1 = 2.0 h</t>
        </is>
      </c>
    </row>
    <row r="60" ht="15" customHeight="1" s="10">
      <c r="A60" s="15" t="inlineStr">
        <is>
          <t>N.EGT</t>
        </is>
      </c>
      <c r="B60" s="15" t="inlineStr">
        <is>
          <t>Egalites a trous</t>
        </is>
      </c>
      <c r="C60" s="15" t="n">
        <v>2</v>
      </c>
      <c r="D60" s="15" t="inlineStr">
        <is>
          <t>CNS</t>
        </is>
      </c>
      <c r="E60" s="15" t="inlineStr">
        <is>
          <t>Connaissance non disponible</t>
        </is>
      </c>
      <c r="F60" s="15" t="n">
        <v>0.1</v>
      </c>
      <c r="G60" s="15" t="n">
        <v>0.5</v>
      </c>
      <c r="H60" s="16" t="inlineStr">
        <is>
          <t>6e ch13 : 2 h / 1 = 2.0 h</t>
        </is>
      </c>
    </row>
    <row r="61" ht="15" customHeight="1" s="10">
      <c r="A61" s="17" t="inlineStr">
        <is>
          <t>N.EGT</t>
        </is>
      </c>
      <c r="B61" s="17" t="inlineStr">
        <is>
          <t>Egalites a trous</t>
        </is>
      </c>
      <c r="C61" s="17" t="n">
        <v>2</v>
      </c>
      <c r="D61" s="17" t="inlineStr">
        <is>
          <t>RED</t>
        </is>
      </c>
      <c r="E61" s="17" t="inlineStr">
        <is>
          <t>Defaut de redaction ou de justification</t>
        </is>
      </c>
      <c r="F61" s="17" t="n">
        <v>0.15</v>
      </c>
      <c r="G61" s="17" t="n">
        <v>0.5</v>
      </c>
      <c r="H61" s="18" t="inlineStr">
        <is>
          <t>6e ch13 : 2 h / 1 = 2.0 h</t>
        </is>
      </c>
    </row>
    <row r="62" ht="15" customHeight="1" s="10">
      <c r="A62" s="15" t="inlineStr">
        <is>
          <t>N.REL</t>
        </is>
      </c>
      <c r="B62" s="15" t="inlineStr">
        <is>
          <t>Nombres relatifs : reperage</t>
        </is>
      </c>
      <c r="C62" s="15" t="n">
        <v>5</v>
      </c>
      <c r="D62" s="15" t="inlineStr">
        <is>
          <t>PRQ</t>
        </is>
      </c>
      <c r="E62" s="15" t="inlineStr">
        <is>
          <t>Prerequis manquant</t>
        </is>
      </c>
      <c r="F62" s="15" t="n">
        <v>0.5</v>
      </c>
      <c r="G62" s="15" t="n">
        <v>2.5</v>
      </c>
      <c r="H62" s="16" t="inlineStr">
        <is>
          <t>6e ch14 : 5 h / 1 = 5.0 h</t>
        </is>
      </c>
    </row>
    <row r="63" ht="15" customHeight="1" s="10">
      <c r="A63" s="17" t="inlineStr">
        <is>
          <t>N.REL</t>
        </is>
      </c>
      <c r="B63" s="17" t="inlineStr">
        <is>
          <t>Nombres relatifs : reperage</t>
        </is>
      </c>
      <c r="C63" s="17" t="n">
        <v>5</v>
      </c>
      <c r="D63" s="17" t="inlineStr">
        <is>
          <t>CPT</t>
        </is>
      </c>
      <c r="E63" s="17" t="inlineStr">
        <is>
          <t>Erreur conceptuelle</t>
        </is>
      </c>
      <c r="F63" s="17" t="n">
        <v>0.35</v>
      </c>
      <c r="G63" s="17" t="n">
        <v>2</v>
      </c>
      <c r="H63" s="18" t="inlineStr">
        <is>
          <t>6e ch14 : 5 h / 1 = 5.0 h</t>
        </is>
      </c>
    </row>
    <row r="64" ht="15" customHeight="1" s="10">
      <c r="A64" s="15" t="inlineStr">
        <is>
          <t>N.REL</t>
        </is>
      </c>
      <c r="B64" s="15" t="inlineStr">
        <is>
          <t>Nombres relatifs : reperage</t>
        </is>
      </c>
      <c r="C64" s="15" t="n">
        <v>5</v>
      </c>
      <c r="D64" s="15" t="inlineStr">
        <is>
          <t>MOD</t>
        </is>
      </c>
      <c r="E64" s="15" t="inlineStr">
        <is>
          <t>Erreur de modelisation</t>
        </is>
      </c>
      <c r="F64" s="15" t="n">
        <v>0.25</v>
      </c>
      <c r="G64" s="15" t="n">
        <v>1</v>
      </c>
      <c r="H64" s="16" t="inlineStr">
        <is>
          <t>6e ch14 : 5 h / 1 = 5.0 h</t>
        </is>
      </c>
    </row>
    <row r="65" ht="15" customHeight="1" s="10">
      <c r="A65" s="17" t="inlineStr">
        <is>
          <t>N.REL</t>
        </is>
      </c>
      <c r="B65" s="17" t="inlineStr">
        <is>
          <t>Nombres relatifs : reperage</t>
        </is>
      </c>
      <c r="C65" s="17" t="n">
        <v>5</v>
      </c>
      <c r="D65" s="17" t="inlineStr">
        <is>
          <t>PRC</t>
        </is>
      </c>
      <c r="E65" s="17" t="inlineStr">
        <is>
          <t>Erreur procedurale</t>
        </is>
      </c>
      <c r="F65" s="17" t="n">
        <v>0.15</v>
      </c>
      <c r="G65" s="17" t="n">
        <v>1</v>
      </c>
      <c r="H65" s="18" t="inlineStr">
        <is>
          <t>6e ch14 : 5 h / 1 = 5.0 h</t>
        </is>
      </c>
    </row>
    <row r="66" ht="15" customHeight="1" s="10">
      <c r="A66" s="15" t="inlineStr">
        <is>
          <t>N.REL</t>
        </is>
      </c>
      <c r="B66" s="15" t="inlineStr">
        <is>
          <t>Nombres relatifs : reperage</t>
        </is>
      </c>
      <c r="C66" s="15" t="n">
        <v>5</v>
      </c>
      <c r="D66" s="15" t="inlineStr">
        <is>
          <t>CNS</t>
        </is>
      </c>
      <c r="E66" s="15" t="inlineStr">
        <is>
          <t>Connaissance non disponible</t>
        </is>
      </c>
      <c r="F66" s="15" t="n">
        <v>0.1</v>
      </c>
      <c r="G66" s="15" t="n">
        <v>0.5</v>
      </c>
      <c r="H66" s="16" t="inlineStr">
        <is>
          <t>6e ch14 : 5 h / 1 = 5.0 h</t>
        </is>
      </c>
    </row>
    <row r="67" ht="15" customHeight="1" s="10">
      <c r="A67" s="17" t="inlineStr">
        <is>
          <t>N.REL</t>
        </is>
      </c>
      <c r="B67" s="17" t="inlineStr">
        <is>
          <t>Nombres relatifs : reperage</t>
        </is>
      </c>
      <c r="C67" s="17" t="n">
        <v>5</v>
      </c>
      <c r="D67" s="17" t="inlineStr">
        <is>
          <t>RED</t>
        </is>
      </c>
      <c r="E67" s="17" t="inlineStr">
        <is>
          <t>Defaut de redaction ou de justification</t>
        </is>
      </c>
      <c r="F67" s="17" t="n">
        <v>0.15</v>
      </c>
      <c r="G67" s="17" t="n">
        <v>1</v>
      </c>
      <c r="H67" s="18" t="inlineStr">
        <is>
          <t>6e ch14 : 5 h / 1 = 5.0 h</t>
        </is>
      </c>
    </row>
    <row r="68" ht="15" customHeight="1" s="10">
      <c r="A68" s="15" t="inlineStr">
        <is>
          <t>N.RELOP</t>
        </is>
      </c>
      <c r="B68" s="15" t="inlineStr">
        <is>
          <t>Operations sur les relatifs</t>
        </is>
      </c>
      <c r="C68" s="15" t="n">
        <v>7</v>
      </c>
      <c r="D68" s="15" t="inlineStr">
        <is>
          <t>PRQ</t>
        </is>
      </c>
      <c r="E68" s="15" t="inlineStr">
        <is>
          <t>Prerequis manquant</t>
        </is>
      </c>
      <c r="F68" s="15" t="n">
        <v>0.5</v>
      </c>
      <c r="G68" s="15" t="n">
        <v>3.5</v>
      </c>
      <c r="H68" s="16" t="inlineStr">
        <is>
          <t>5e ch7 : 7 h / 1 = 7.0 h</t>
        </is>
      </c>
    </row>
    <row r="69" ht="15" customHeight="1" s="10">
      <c r="A69" s="17" t="inlineStr">
        <is>
          <t>N.RELOP</t>
        </is>
      </c>
      <c r="B69" s="17" t="inlineStr">
        <is>
          <t>Operations sur les relatifs</t>
        </is>
      </c>
      <c r="C69" s="17" t="n">
        <v>7</v>
      </c>
      <c r="D69" s="17" t="inlineStr">
        <is>
          <t>CPT</t>
        </is>
      </c>
      <c r="E69" s="17" t="inlineStr">
        <is>
          <t>Erreur conceptuelle</t>
        </is>
      </c>
      <c r="F69" s="17" t="n">
        <v>0.35</v>
      </c>
      <c r="G69" s="17" t="n">
        <v>2.5</v>
      </c>
      <c r="H69" s="18" t="inlineStr">
        <is>
          <t>5e ch7 : 7 h / 1 = 7.0 h</t>
        </is>
      </c>
    </row>
    <row r="70" ht="15" customHeight="1" s="10">
      <c r="A70" s="15" t="inlineStr">
        <is>
          <t>N.RELOP</t>
        </is>
      </c>
      <c r="B70" s="15" t="inlineStr">
        <is>
          <t>Operations sur les relatifs</t>
        </is>
      </c>
      <c r="C70" s="15" t="n">
        <v>7</v>
      </c>
      <c r="D70" s="15" t="inlineStr">
        <is>
          <t>MOD</t>
        </is>
      </c>
      <c r="E70" s="15" t="inlineStr">
        <is>
          <t>Erreur de modelisation</t>
        </is>
      </c>
      <c r="F70" s="15" t="n">
        <v>0.25</v>
      </c>
      <c r="G70" s="15" t="n">
        <v>2</v>
      </c>
      <c r="H70" s="16" t="inlineStr">
        <is>
          <t>5e ch7 : 7 h / 1 = 7.0 h</t>
        </is>
      </c>
    </row>
    <row r="71" ht="15" customHeight="1" s="10">
      <c r="A71" s="17" t="inlineStr">
        <is>
          <t>N.RELOP</t>
        </is>
      </c>
      <c r="B71" s="17" t="inlineStr">
        <is>
          <t>Operations sur les relatifs</t>
        </is>
      </c>
      <c r="C71" s="17" t="n">
        <v>7</v>
      </c>
      <c r="D71" s="17" t="inlineStr">
        <is>
          <t>PRC</t>
        </is>
      </c>
      <c r="E71" s="17" t="inlineStr">
        <is>
          <t>Erreur procedurale</t>
        </is>
      </c>
      <c r="F71" s="17" t="n">
        <v>0.15</v>
      </c>
      <c r="G71" s="17" t="n">
        <v>1</v>
      </c>
      <c r="H71" s="18" t="inlineStr">
        <is>
          <t>5e ch7 : 7 h / 1 = 7.0 h</t>
        </is>
      </c>
    </row>
    <row r="72" ht="15" customHeight="1" s="10">
      <c r="A72" s="15" t="inlineStr">
        <is>
          <t>N.RELOP</t>
        </is>
      </c>
      <c r="B72" s="15" t="inlineStr">
        <is>
          <t>Operations sur les relatifs</t>
        </is>
      </c>
      <c r="C72" s="15" t="n">
        <v>7</v>
      </c>
      <c r="D72" s="15" t="inlineStr">
        <is>
          <t>CNS</t>
        </is>
      </c>
      <c r="E72" s="15" t="inlineStr">
        <is>
          <t>Connaissance non disponible</t>
        </is>
      </c>
      <c r="F72" s="15" t="n">
        <v>0.1</v>
      </c>
      <c r="G72" s="15" t="n">
        <v>0.5</v>
      </c>
      <c r="H72" s="16" t="inlineStr">
        <is>
          <t>5e ch7 : 7 h / 1 = 7.0 h</t>
        </is>
      </c>
    </row>
    <row r="73" ht="15" customHeight="1" s="10">
      <c r="A73" s="17" t="inlineStr">
        <is>
          <t>N.RELOP</t>
        </is>
      </c>
      <c r="B73" s="17" t="inlineStr">
        <is>
          <t>Operations sur les relatifs</t>
        </is>
      </c>
      <c r="C73" s="17" t="n">
        <v>7</v>
      </c>
      <c r="D73" s="17" t="inlineStr">
        <is>
          <t>RED</t>
        </is>
      </c>
      <c r="E73" s="17" t="inlineStr">
        <is>
          <t>Defaut de redaction ou de justification</t>
        </is>
      </c>
      <c r="F73" s="17" t="n">
        <v>0.15</v>
      </c>
      <c r="G73" s="17" t="n">
        <v>1</v>
      </c>
      <c r="H73" s="18" t="inlineStr">
        <is>
          <t>5e ch7 : 7 h / 1 = 7.0 h</t>
        </is>
      </c>
    </row>
    <row r="74" ht="15" customHeight="1" s="10">
      <c r="A74" s="15" t="inlineStr">
        <is>
          <t>N.DIVIS</t>
        </is>
      </c>
      <c r="B74" s="15" t="inlineStr">
        <is>
          <t>Multiples, diviseurs, premiers</t>
        </is>
      </c>
      <c r="C74" s="15" t="n">
        <v>8</v>
      </c>
      <c r="D74" s="15" t="inlineStr">
        <is>
          <t>PRQ</t>
        </is>
      </c>
      <c r="E74" s="15" t="inlineStr">
        <is>
          <t>Prerequis manquant</t>
        </is>
      </c>
      <c r="F74" s="15" t="n">
        <v>0.5</v>
      </c>
      <c r="G74" s="15" t="n">
        <v>4</v>
      </c>
      <c r="H74" s="16" t="inlineStr">
        <is>
          <t>5e ch2 : 8 h / 1 = 8.0 h</t>
        </is>
      </c>
    </row>
    <row r="75" ht="15" customHeight="1" s="10">
      <c r="A75" s="17" t="inlineStr">
        <is>
          <t>N.DIVIS</t>
        </is>
      </c>
      <c r="B75" s="17" t="inlineStr">
        <is>
          <t>Multiples, diviseurs, premiers</t>
        </is>
      </c>
      <c r="C75" s="17" t="n">
        <v>8</v>
      </c>
      <c r="D75" s="17" t="inlineStr">
        <is>
          <t>CPT</t>
        </is>
      </c>
      <c r="E75" s="17" t="inlineStr">
        <is>
          <t>Erreur conceptuelle</t>
        </is>
      </c>
      <c r="F75" s="17" t="n">
        <v>0.35</v>
      </c>
      <c r="G75" s="17" t="n">
        <v>3</v>
      </c>
      <c r="H75" s="18" t="inlineStr">
        <is>
          <t>5e ch2 : 8 h / 1 = 8.0 h</t>
        </is>
      </c>
    </row>
    <row r="76" ht="15" customHeight="1" s="10">
      <c r="A76" s="15" t="inlineStr">
        <is>
          <t>N.DIVIS</t>
        </is>
      </c>
      <c r="B76" s="15" t="inlineStr">
        <is>
          <t>Multiples, diviseurs, premiers</t>
        </is>
      </c>
      <c r="C76" s="15" t="n">
        <v>8</v>
      </c>
      <c r="D76" s="15" t="inlineStr">
        <is>
          <t>MOD</t>
        </is>
      </c>
      <c r="E76" s="15" t="inlineStr">
        <is>
          <t>Erreur de modelisation</t>
        </is>
      </c>
      <c r="F76" s="15" t="n">
        <v>0.25</v>
      </c>
      <c r="G76" s="15" t="n">
        <v>2</v>
      </c>
      <c r="H76" s="16" t="inlineStr">
        <is>
          <t>5e ch2 : 8 h / 1 = 8.0 h</t>
        </is>
      </c>
    </row>
    <row r="77" ht="15" customHeight="1" s="10">
      <c r="A77" s="17" t="inlineStr">
        <is>
          <t>N.DIVIS</t>
        </is>
      </c>
      <c r="B77" s="17" t="inlineStr">
        <is>
          <t>Multiples, diviseurs, premiers</t>
        </is>
      </c>
      <c r="C77" s="17" t="n">
        <v>8</v>
      </c>
      <c r="D77" s="17" t="inlineStr">
        <is>
          <t>PRC</t>
        </is>
      </c>
      <c r="E77" s="17" t="inlineStr">
        <is>
          <t>Erreur procedurale</t>
        </is>
      </c>
      <c r="F77" s="17" t="n">
        <v>0.15</v>
      </c>
      <c r="G77" s="17" t="n">
        <v>1</v>
      </c>
      <c r="H77" s="18" t="inlineStr">
        <is>
          <t>5e ch2 : 8 h / 1 = 8.0 h</t>
        </is>
      </c>
    </row>
    <row r="78" ht="15" customHeight="1" s="10">
      <c r="A78" s="15" t="inlineStr">
        <is>
          <t>N.DIVIS</t>
        </is>
      </c>
      <c r="B78" s="15" t="inlineStr">
        <is>
          <t>Multiples, diviseurs, premiers</t>
        </is>
      </c>
      <c r="C78" s="15" t="n">
        <v>8</v>
      </c>
      <c r="D78" s="15" t="inlineStr">
        <is>
          <t>CNS</t>
        </is>
      </c>
      <c r="E78" s="15" t="inlineStr">
        <is>
          <t>Connaissance non disponible</t>
        </is>
      </c>
      <c r="F78" s="15" t="n">
        <v>0.1</v>
      </c>
      <c r="G78" s="15" t="n">
        <v>1</v>
      </c>
      <c r="H78" s="16" t="inlineStr">
        <is>
          <t>5e ch2 : 8 h / 1 = 8.0 h</t>
        </is>
      </c>
    </row>
    <row r="79" ht="15" customHeight="1" s="10">
      <c r="A79" s="17" t="inlineStr">
        <is>
          <t>N.DIVIS</t>
        </is>
      </c>
      <c r="B79" s="17" t="inlineStr">
        <is>
          <t>Multiples, diviseurs, premiers</t>
        </is>
      </c>
      <c r="C79" s="17" t="n">
        <v>8</v>
      </c>
      <c r="D79" s="17" t="inlineStr">
        <is>
          <t>RED</t>
        </is>
      </c>
      <c r="E79" s="17" t="inlineStr">
        <is>
          <t>Defaut de redaction ou de justification</t>
        </is>
      </c>
      <c r="F79" s="17" t="n">
        <v>0.15</v>
      </c>
      <c r="G79" s="17" t="n">
        <v>1</v>
      </c>
      <c r="H79" s="18" t="inlineStr">
        <is>
          <t>5e ch2 : 8 h / 1 = 8.0 h</t>
        </is>
      </c>
    </row>
    <row r="80" ht="15" customHeight="1" s="10">
      <c r="A80" s="15" t="inlineStr">
        <is>
          <t>N.PGCD</t>
        </is>
      </c>
      <c r="B80" s="15" t="inlineStr">
        <is>
          <t>PGCD et PPCM</t>
        </is>
      </c>
      <c r="C80" s="15" t="n">
        <v>10</v>
      </c>
      <c r="D80" s="15" t="inlineStr">
        <is>
          <t>PRQ</t>
        </is>
      </c>
      <c r="E80" s="15" t="inlineStr">
        <is>
          <t>Prerequis manquant</t>
        </is>
      </c>
      <c r="F80" s="15" t="n">
        <v>0.5</v>
      </c>
      <c r="G80" s="15" t="n">
        <v>4</v>
      </c>
      <c r="H80" s="16" t="inlineStr">
        <is>
          <t>5e ch4 : 10 h / 1 = 10.0 h</t>
        </is>
      </c>
    </row>
    <row r="81" ht="15" customHeight="1" s="10">
      <c r="A81" s="17" t="inlineStr">
        <is>
          <t>N.PGCD</t>
        </is>
      </c>
      <c r="B81" s="17" t="inlineStr">
        <is>
          <t>PGCD et PPCM</t>
        </is>
      </c>
      <c r="C81" s="17" t="n">
        <v>10</v>
      </c>
      <c r="D81" s="17" t="inlineStr">
        <is>
          <t>CPT</t>
        </is>
      </c>
      <c r="E81" s="17" t="inlineStr">
        <is>
          <t>Erreur conceptuelle</t>
        </is>
      </c>
      <c r="F81" s="17" t="n">
        <v>0.35</v>
      </c>
      <c r="G81" s="17" t="n">
        <v>3.5</v>
      </c>
      <c r="H81" s="18" t="inlineStr">
        <is>
          <t>5e ch4 : 10 h / 1 = 10.0 h</t>
        </is>
      </c>
    </row>
    <row r="82" ht="15" customHeight="1" s="10">
      <c r="A82" s="15" t="inlineStr">
        <is>
          <t>N.PGCD</t>
        </is>
      </c>
      <c r="B82" s="15" t="inlineStr">
        <is>
          <t>PGCD et PPCM</t>
        </is>
      </c>
      <c r="C82" s="15" t="n">
        <v>10</v>
      </c>
      <c r="D82" s="15" t="inlineStr">
        <is>
          <t>MOD</t>
        </is>
      </c>
      <c r="E82" s="15" t="inlineStr">
        <is>
          <t>Erreur de modelisation</t>
        </is>
      </c>
      <c r="F82" s="15" t="n">
        <v>0.25</v>
      </c>
      <c r="G82" s="15" t="n">
        <v>2.5</v>
      </c>
      <c r="H82" s="16" t="inlineStr">
        <is>
          <t>5e ch4 : 10 h / 1 = 10.0 h</t>
        </is>
      </c>
    </row>
    <row r="83" ht="15" customHeight="1" s="10">
      <c r="A83" s="17" t="inlineStr">
        <is>
          <t>N.PGCD</t>
        </is>
      </c>
      <c r="B83" s="17" t="inlineStr">
        <is>
          <t>PGCD et PPCM</t>
        </is>
      </c>
      <c r="C83" s="17" t="n">
        <v>10</v>
      </c>
      <c r="D83" s="17" t="inlineStr">
        <is>
          <t>PRC</t>
        </is>
      </c>
      <c r="E83" s="17" t="inlineStr">
        <is>
          <t>Erreur procedurale</t>
        </is>
      </c>
      <c r="F83" s="17" t="n">
        <v>0.15</v>
      </c>
      <c r="G83" s="17" t="n">
        <v>1.5</v>
      </c>
      <c r="H83" s="18" t="inlineStr">
        <is>
          <t>5e ch4 : 10 h / 1 = 10.0 h</t>
        </is>
      </c>
    </row>
    <row r="84" ht="15" customHeight="1" s="10">
      <c r="A84" s="15" t="inlineStr">
        <is>
          <t>N.PGCD</t>
        </is>
      </c>
      <c r="B84" s="15" t="inlineStr">
        <is>
          <t>PGCD et PPCM</t>
        </is>
      </c>
      <c r="C84" s="15" t="n">
        <v>10</v>
      </c>
      <c r="D84" s="15" t="inlineStr">
        <is>
          <t>CNS</t>
        </is>
      </c>
      <c r="E84" s="15" t="inlineStr">
        <is>
          <t>Connaissance non disponible</t>
        </is>
      </c>
      <c r="F84" s="15" t="n">
        <v>0.1</v>
      </c>
      <c r="G84" s="15" t="n">
        <v>1</v>
      </c>
      <c r="H84" s="16" t="inlineStr">
        <is>
          <t>5e ch4 : 10 h / 1 = 10.0 h</t>
        </is>
      </c>
    </row>
    <row r="85" ht="15" customHeight="1" s="10">
      <c r="A85" s="17" t="inlineStr">
        <is>
          <t>N.PGCD</t>
        </is>
      </c>
      <c r="B85" s="17" t="inlineStr">
        <is>
          <t>PGCD et PPCM</t>
        </is>
      </c>
      <c r="C85" s="17" t="n">
        <v>10</v>
      </c>
      <c r="D85" s="17" t="inlineStr">
        <is>
          <t>RED</t>
        </is>
      </c>
      <c r="E85" s="17" t="inlineStr">
        <is>
          <t>Defaut de redaction ou de justification</t>
        </is>
      </c>
      <c r="F85" s="17" t="n">
        <v>0.15</v>
      </c>
      <c r="G85" s="17" t="n">
        <v>1.5</v>
      </c>
      <c r="H85" s="18" t="inlineStr">
        <is>
          <t>5e ch4 : 10 h / 1 = 10.0 h</t>
        </is>
      </c>
    </row>
    <row r="86" ht="15" customHeight="1" s="10">
      <c r="A86" s="15" t="inlineStr">
        <is>
          <t>N.FRA2</t>
        </is>
      </c>
      <c r="B86" s="15" t="inlineStr">
        <is>
          <t>Operations sur les fractions</t>
        </is>
      </c>
      <c r="C86" s="15" t="n">
        <v>6</v>
      </c>
      <c r="D86" s="15" t="inlineStr">
        <is>
          <t>PRQ</t>
        </is>
      </c>
      <c r="E86" s="15" t="inlineStr">
        <is>
          <t>Prerequis manquant</t>
        </is>
      </c>
      <c r="F86" s="15" t="n">
        <v>0.5</v>
      </c>
      <c r="G86" s="15" t="n">
        <v>3</v>
      </c>
      <c r="H86" s="16" t="inlineStr">
        <is>
          <t>5e ch5 : 6 h / 1 = 6.0 h</t>
        </is>
      </c>
    </row>
    <row r="87" ht="15" customHeight="1" s="10">
      <c r="A87" s="17" t="inlineStr">
        <is>
          <t>N.FRA2</t>
        </is>
      </c>
      <c r="B87" s="17" t="inlineStr">
        <is>
          <t>Operations sur les fractions</t>
        </is>
      </c>
      <c r="C87" s="17" t="n">
        <v>6</v>
      </c>
      <c r="D87" s="17" t="inlineStr">
        <is>
          <t>CPT</t>
        </is>
      </c>
      <c r="E87" s="17" t="inlineStr">
        <is>
          <t>Erreur conceptuelle</t>
        </is>
      </c>
      <c r="F87" s="17" t="n">
        <v>0.35</v>
      </c>
      <c r="G87" s="17" t="n">
        <v>2</v>
      </c>
      <c r="H87" s="18" t="inlineStr">
        <is>
          <t>5e ch5 : 6 h / 1 = 6.0 h</t>
        </is>
      </c>
    </row>
    <row r="88" ht="15" customHeight="1" s="10">
      <c r="A88" s="15" t="inlineStr">
        <is>
          <t>N.FRA2</t>
        </is>
      </c>
      <c r="B88" s="15" t="inlineStr">
        <is>
          <t>Operations sur les fractions</t>
        </is>
      </c>
      <c r="C88" s="15" t="n">
        <v>6</v>
      </c>
      <c r="D88" s="15" t="inlineStr">
        <is>
          <t>MOD</t>
        </is>
      </c>
      <c r="E88" s="15" t="inlineStr">
        <is>
          <t>Erreur de modelisation</t>
        </is>
      </c>
      <c r="F88" s="15" t="n">
        <v>0.25</v>
      </c>
      <c r="G88" s="15" t="n">
        <v>1.5</v>
      </c>
      <c r="H88" s="16" t="inlineStr">
        <is>
          <t>5e ch5 : 6 h / 1 = 6.0 h</t>
        </is>
      </c>
    </row>
    <row r="89" ht="15" customHeight="1" s="10">
      <c r="A89" s="17" t="inlineStr">
        <is>
          <t>N.FRA2</t>
        </is>
      </c>
      <c r="B89" s="17" t="inlineStr">
        <is>
          <t>Operations sur les fractions</t>
        </is>
      </c>
      <c r="C89" s="17" t="n">
        <v>6</v>
      </c>
      <c r="D89" s="17" t="inlineStr">
        <is>
          <t>PRC</t>
        </is>
      </c>
      <c r="E89" s="17" t="inlineStr">
        <is>
          <t>Erreur procedurale</t>
        </is>
      </c>
      <c r="F89" s="17" t="n">
        <v>0.15</v>
      </c>
      <c r="G89" s="17" t="n">
        <v>1</v>
      </c>
      <c r="H89" s="18" t="inlineStr">
        <is>
          <t>5e ch5 : 6 h / 1 = 6.0 h</t>
        </is>
      </c>
    </row>
    <row r="90" ht="15" customHeight="1" s="10">
      <c r="A90" s="15" t="inlineStr">
        <is>
          <t>N.FRA2</t>
        </is>
      </c>
      <c r="B90" s="15" t="inlineStr">
        <is>
          <t>Operations sur les fractions</t>
        </is>
      </c>
      <c r="C90" s="15" t="n">
        <v>6</v>
      </c>
      <c r="D90" s="15" t="inlineStr">
        <is>
          <t>CNS</t>
        </is>
      </c>
      <c r="E90" s="15" t="inlineStr">
        <is>
          <t>Connaissance non disponible</t>
        </is>
      </c>
      <c r="F90" s="15" t="n">
        <v>0.1</v>
      </c>
      <c r="G90" s="15" t="n">
        <v>0.5</v>
      </c>
      <c r="H90" s="16" t="inlineStr">
        <is>
          <t>5e ch5 : 6 h / 1 = 6.0 h</t>
        </is>
      </c>
    </row>
    <row r="91" ht="15" customHeight="1" s="10">
      <c r="A91" s="17" t="inlineStr">
        <is>
          <t>N.FRA2</t>
        </is>
      </c>
      <c r="B91" s="17" t="inlineStr">
        <is>
          <t>Operations sur les fractions</t>
        </is>
      </c>
      <c r="C91" s="17" t="n">
        <v>6</v>
      </c>
      <c r="D91" s="17" t="inlineStr">
        <is>
          <t>RED</t>
        </is>
      </c>
      <c r="E91" s="17" t="inlineStr">
        <is>
          <t>Defaut de redaction ou de justification</t>
        </is>
      </c>
      <c r="F91" s="17" t="n">
        <v>0.15</v>
      </c>
      <c r="G91" s="17" t="n">
        <v>1</v>
      </c>
      <c r="H91" s="18" t="inlineStr">
        <is>
          <t>5e ch5 : 6 h / 1 = 6.0 h</t>
        </is>
      </c>
    </row>
    <row r="92" ht="15" customHeight="1" s="10">
      <c r="A92" s="15" t="inlineStr">
        <is>
          <t>N.VAB</t>
        </is>
      </c>
      <c r="B92" s="15" t="inlineStr">
        <is>
          <t>Valeur absolue</t>
        </is>
      </c>
      <c r="C92" s="15" t="n">
        <v>4</v>
      </c>
      <c r="D92" s="15" t="inlineStr">
        <is>
          <t>PRQ</t>
        </is>
      </c>
      <c r="E92" s="15" t="inlineStr">
        <is>
          <t>Prerequis manquant</t>
        </is>
      </c>
      <c r="F92" s="15" t="n">
        <v>0.5</v>
      </c>
      <c r="G92" s="15" t="n">
        <v>2</v>
      </c>
      <c r="H92" s="16" t="inlineStr">
        <is>
          <t>5e ch8 : 4 h / 1 = 4.0 h</t>
        </is>
      </c>
    </row>
    <row r="93" ht="15" customHeight="1" s="10">
      <c r="A93" s="17" t="inlineStr">
        <is>
          <t>N.VAB</t>
        </is>
      </c>
      <c r="B93" s="17" t="inlineStr">
        <is>
          <t>Valeur absolue</t>
        </is>
      </c>
      <c r="C93" s="17" t="n">
        <v>4</v>
      </c>
      <c r="D93" s="17" t="inlineStr">
        <is>
          <t>CPT</t>
        </is>
      </c>
      <c r="E93" s="17" t="inlineStr">
        <is>
          <t>Erreur conceptuelle</t>
        </is>
      </c>
      <c r="F93" s="17" t="n">
        <v>0.35</v>
      </c>
      <c r="G93" s="17" t="n">
        <v>1.5</v>
      </c>
      <c r="H93" s="18" t="inlineStr">
        <is>
          <t>5e ch8 : 4 h / 1 = 4.0 h</t>
        </is>
      </c>
    </row>
    <row r="94" ht="15" customHeight="1" s="10">
      <c r="A94" s="15" t="inlineStr">
        <is>
          <t>N.VAB</t>
        </is>
      </c>
      <c r="B94" s="15" t="inlineStr">
        <is>
          <t>Valeur absolue</t>
        </is>
      </c>
      <c r="C94" s="15" t="n">
        <v>4</v>
      </c>
      <c r="D94" s="15" t="inlineStr">
        <is>
          <t>MOD</t>
        </is>
      </c>
      <c r="E94" s="15" t="inlineStr">
        <is>
          <t>Erreur de modelisation</t>
        </is>
      </c>
      <c r="F94" s="15" t="n">
        <v>0.25</v>
      </c>
      <c r="G94" s="15" t="n">
        <v>1</v>
      </c>
      <c r="H94" s="16" t="inlineStr">
        <is>
          <t>5e ch8 : 4 h / 1 = 4.0 h</t>
        </is>
      </c>
    </row>
    <row r="95" ht="15" customHeight="1" s="10">
      <c r="A95" s="17" t="inlineStr">
        <is>
          <t>N.VAB</t>
        </is>
      </c>
      <c r="B95" s="17" t="inlineStr">
        <is>
          <t>Valeur absolue</t>
        </is>
      </c>
      <c r="C95" s="17" t="n">
        <v>4</v>
      </c>
      <c r="D95" s="17" t="inlineStr">
        <is>
          <t>PRC</t>
        </is>
      </c>
      <c r="E95" s="17" t="inlineStr">
        <is>
          <t>Erreur procedurale</t>
        </is>
      </c>
      <c r="F95" s="17" t="n">
        <v>0.15</v>
      </c>
      <c r="G95" s="17" t="n">
        <v>0.5</v>
      </c>
      <c r="H95" s="18" t="inlineStr">
        <is>
          <t>5e ch8 : 4 h / 1 = 4.0 h</t>
        </is>
      </c>
    </row>
    <row r="96" ht="15" customHeight="1" s="10">
      <c r="A96" s="15" t="inlineStr">
        <is>
          <t>N.VAB</t>
        </is>
      </c>
      <c r="B96" s="15" t="inlineStr">
        <is>
          <t>Valeur absolue</t>
        </is>
      </c>
      <c r="C96" s="15" t="n">
        <v>4</v>
      </c>
      <c r="D96" s="15" t="inlineStr">
        <is>
          <t>CNS</t>
        </is>
      </c>
      <c r="E96" s="15" t="inlineStr">
        <is>
          <t>Connaissance non disponible</t>
        </is>
      </c>
      <c r="F96" s="15" t="n">
        <v>0.1</v>
      </c>
      <c r="G96" s="15" t="n">
        <v>0.5</v>
      </c>
      <c r="H96" s="16" t="inlineStr">
        <is>
          <t>5e ch8 : 4 h / 1 = 4.0 h</t>
        </is>
      </c>
    </row>
    <row r="97" ht="15" customHeight="1" s="10">
      <c r="A97" s="17" t="inlineStr">
        <is>
          <t>N.VAB</t>
        </is>
      </c>
      <c r="B97" s="17" t="inlineStr">
        <is>
          <t>Valeur absolue</t>
        </is>
      </c>
      <c r="C97" s="17" t="n">
        <v>4</v>
      </c>
      <c r="D97" s="17" t="inlineStr">
        <is>
          <t>RED</t>
        </is>
      </c>
      <c r="E97" s="17" t="inlineStr">
        <is>
          <t>Defaut de redaction ou de justification</t>
        </is>
      </c>
      <c r="F97" s="17" t="n">
        <v>0.15</v>
      </c>
      <c r="G97" s="17" t="n">
        <v>0.5</v>
      </c>
      <c r="H97" s="18" t="inlineStr">
        <is>
          <t>5e ch8 : 4 h / 1 = 4.0 h</t>
        </is>
      </c>
    </row>
    <row r="98" ht="15" customHeight="1" s="10">
      <c r="A98" s="15" t="inlineStr">
        <is>
          <t>N.PUI</t>
        </is>
      </c>
      <c r="B98" s="15" t="inlineStr">
        <is>
          <t>Puissances entieres</t>
        </is>
      </c>
      <c r="C98" s="15" t="n">
        <v>4</v>
      </c>
      <c r="D98" s="15" t="inlineStr">
        <is>
          <t>PRQ</t>
        </is>
      </c>
      <c r="E98" s="15" t="inlineStr">
        <is>
          <t>Prerequis manquant</t>
        </is>
      </c>
      <c r="F98" s="15" t="n">
        <v>0.5</v>
      </c>
      <c r="G98" s="15" t="n">
        <v>2</v>
      </c>
      <c r="H98" s="16" t="inlineStr">
        <is>
          <t>5e ch11 : 4 h / 1 = 4.0 h</t>
        </is>
      </c>
    </row>
    <row r="99" ht="15" customHeight="1" s="10">
      <c r="A99" s="17" t="inlineStr">
        <is>
          <t>N.PUI</t>
        </is>
      </c>
      <c r="B99" s="17" t="inlineStr">
        <is>
          <t>Puissances entieres</t>
        </is>
      </c>
      <c r="C99" s="17" t="n">
        <v>4</v>
      </c>
      <c r="D99" s="17" t="inlineStr">
        <is>
          <t>CPT</t>
        </is>
      </c>
      <c r="E99" s="17" t="inlineStr">
        <is>
          <t>Erreur conceptuelle</t>
        </is>
      </c>
      <c r="F99" s="17" t="n">
        <v>0.35</v>
      </c>
      <c r="G99" s="17" t="n">
        <v>1.5</v>
      </c>
      <c r="H99" s="18" t="inlineStr">
        <is>
          <t>5e ch11 : 4 h / 1 = 4.0 h</t>
        </is>
      </c>
    </row>
    <row r="100" ht="15" customHeight="1" s="10">
      <c r="A100" s="15" t="inlineStr">
        <is>
          <t>N.PUI</t>
        </is>
      </c>
      <c r="B100" s="15" t="inlineStr">
        <is>
          <t>Puissances entieres</t>
        </is>
      </c>
      <c r="C100" s="15" t="n">
        <v>4</v>
      </c>
      <c r="D100" s="15" t="inlineStr">
        <is>
          <t>MOD</t>
        </is>
      </c>
      <c r="E100" s="15" t="inlineStr">
        <is>
          <t>Erreur de modelisation</t>
        </is>
      </c>
      <c r="F100" s="15" t="n">
        <v>0.25</v>
      </c>
      <c r="G100" s="15" t="n">
        <v>1</v>
      </c>
      <c r="H100" s="16" t="inlineStr">
        <is>
          <t>5e ch11 : 4 h / 1 = 4.0 h</t>
        </is>
      </c>
    </row>
    <row r="101" ht="15" customHeight="1" s="10">
      <c r="A101" s="17" t="inlineStr">
        <is>
          <t>N.PUI</t>
        </is>
      </c>
      <c r="B101" s="17" t="inlineStr">
        <is>
          <t>Puissances entieres</t>
        </is>
      </c>
      <c r="C101" s="17" t="n">
        <v>4</v>
      </c>
      <c r="D101" s="17" t="inlineStr">
        <is>
          <t>PRC</t>
        </is>
      </c>
      <c r="E101" s="17" t="inlineStr">
        <is>
          <t>Erreur procedurale</t>
        </is>
      </c>
      <c r="F101" s="17" t="n">
        <v>0.15</v>
      </c>
      <c r="G101" s="17" t="n">
        <v>0.5</v>
      </c>
      <c r="H101" s="18" t="inlineStr">
        <is>
          <t>5e ch11 : 4 h / 1 = 4.0 h</t>
        </is>
      </c>
    </row>
    <row r="102" ht="15" customHeight="1" s="10">
      <c r="A102" s="15" t="inlineStr">
        <is>
          <t>N.PUI</t>
        </is>
      </c>
      <c r="B102" s="15" t="inlineStr">
        <is>
          <t>Puissances entieres</t>
        </is>
      </c>
      <c r="C102" s="15" t="n">
        <v>4</v>
      </c>
      <c r="D102" s="15" t="inlineStr">
        <is>
          <t>CNS</t>
        </is>
      </c>
      <c r="E102" s="15" t="inlineStr">
        <is>
          <t>Connaissance non disponible</t>
        </is>
      </c>
      <c r="F102" s="15" t="n">
        <v>0.1</v>
      </c>
      <c r="G102" s="15" t="n">
        <v>0.5</v>
      </c>
      <c r="H102" s="16" t="inlineStr">
        <is>
          <t>5e ch11 : 4 h / 1 = 4.0 h</t>
        </is>
      </c>
    </row>
    <row r="103" ht="15" customHeight="1" s="10">
      <c r="A103" s="17" t="inlineStr">
        <is>
          <t>N.PUI</t>
        </is>
      </c>
      <c r="B103" s="17" t="inlineStr">
        <is>
          <t>Puissances entieres</t>
        </is>
      </c>
      <c r="C103" s="17" t="n">
        <v>4</v>
      </c>
      <c r="D103" s="17" t="inlineStr">
        <is>
          <t>RED</t>
        </is>
      </c>
      <c r="E103" s="17" t="inlineStr">
        <is>
          <t>Defaut de redaction ou de justification</t>
        </is>
      </c>
      <c r="F103" s="17" t="n">
        <v>0.15</v>
      </c>
      <c r="G103" s="17" t="n">
        <v>0.5</v>
      </c>
      <c r="H103" s="18" t="inlineStr">
        <is>
          <t>5e ch11 : 4 h / 1 = 4.0 h</t>
        </is>
      </c>
    </row>
    <row r="104" ht="15" customHeight="1" s="10">
      <c r="A104" s="15" t="inlineStr">
        <is>
          <t>N.MULD</t>
        </is>
      </c>
      <c r="B104" s="15" t="inlineStr">
        <is>
          <t>Multiplication dans D</t>
        </is>
      </c>
      <c r="C104" s="15" t="n">
        <v>4.5</v>
      </c>
      <c r="D104" s="15" t="inlineStr">
        <is>
          <t>PRQ</t>
        </is>
      </c>
      <c r="E104" s="15" t="inlineStr">
        <is>
          <t>Prerequis manquant</t>
        </is>
      </c>
      <c r="F104" s="15" t="n">
        <v>0.5</v>
      </c>
      <c r="G104" s="15" t="n">
        <v>2</v>
      </c>
      <c r="H104" s="16" t="inlineStr">
        <is>
          <t>5e ch10 : 9 h / 2 = 4.5 h</t>
        </is>
      </c>
    </row>
    <row r="105" ht="15" customHeight="1" s="10">
      <c r="A105" s="17" t="inlineStr">
        <is>
          <t>N.MULD</t>
        </is>
      </c>
      <c r="B105" s="17" t="inlineStr">
        <is>
          <t>Multiplication dans D</t>
        </is>
      </c>
      <c r="C105" s="17" t="n">
        <v>4.5</v>
      </c>
      <c r="D105" s="17" t="inlineStr">
        <is>
          <t>CPT</t>
        </is>
      </c>
      <c r="E105" s="17" t="inlineStr">
        <is>
          <t>Erreur conceptuelle</t>
        </is>
      </c>
      <c r="F105" s="17" t="n">
        <v>0.35</v>
      </c>
      <c r="G105" s="17" t="n">
        <v>1.5</v>
      </c>
      <c r="H105" s="18" t="inlineStr">
        <is>
          <t>5e ch10 : 9 h / 2 = 4.5 h</t>
        </is>
      </c>
    </row>
    <row r="106" ht="15" customHeight="1" s="10">
      <c r="A106" s="15" t="inlineStr">
        <is>
          <t>N.MULD</t>
        </is>
      </c>
      <c r="B106" s="15" t="inlineStr">
        <is>
          <t>Multiplication dans D</t>
        </is>
      </c>
      <c r="C106" s="15" t="n">
        <v>4.5</v>
      </c>
      <c r="D106" s="15" t="inlineStr">
        <is>
          <t>MOD</t>
        </is>
      </c>
      <c r="E106" s="15" t="inlineStr">
        <is>
          <t>Erreur de modelisation</t>
        </is>
      </c>
      <c r="F106" s="15" t="n">
        <v>0.25</v>
      </c>
      <c r="G106" s="15" t="n">
        <v>1</v>
      </c>
      <c r="H106" s="16" t="inlineStr">
        <is>
          <t>5e ch10 : 9 h / 2 = 4.5 h</t>
        </is>
      </c>
    </row>
    <row r="107" ht="15" customHeight="1" s="10">
      <c r="A107" s="17" t="inlineStr">
        <is>
          <t>N.MULD</t>
        </is>
      </c>
      <c r="B107" s="17" t="inlineStr">
        <is>
          <t>Multiplication dans D</t>
        </is>
      </c>
      <c r="C107" s="17" t="n">
        <v>4.5</v>
      </c>
      <c r="D107" s="17" t="inlineStr">
        <is>
          <t>PRC</t>
        </is>
      </c>
      <c r="E107" s="17" t="inlineStr">
        <is>
          <t>Erreur procedurale</t>
        </is>
      </c>
      <c r="F107" s="17" t="n">
        <v>0.15</v>
      </c>
      <c r="G107" s="17" t="n">
        <v>0.5</v>
      </c>
      <c r="H107" s="18" t="inlineStr">
        <is>
          <t>5e ch10 : 9 h / 2 = 4.5 h</t>
        </is>
      </c>
    </row>
    <row r="108" ht="15" customHeight="1" s="10">
      <c r="A108" s="15" t="inlineStr">
        <is>
          <t>N.MULD</t>
        </is>
      </c>
      <c r="B108" s="15" t="inlineStr">
        <is>
          <t>Multiplication dans D</t>
        </is>
      </c>
      <c r="C108" s="15" t="n">
        <v>4.5</v>
      </c>
      <c r="D108" s="15" t="inlineStr">
        <is>
          <t>CNS</t>
        </is>
      </c>
      <c r="E108" s="15" t="inlineStr">
        <is>
          <t>Connaissance non disponible</t>
        </is>
      </c>
      <c r="F108" s="15" t="n">
        <v>0.1</v>
      </c>
      <c r="G108" s="15" t="n">
        <v>0.5</v>
      </c>
      <c r="H108" s="16" t="inlineStr">
        <is>
          <t>5e ch10 : 9 h / 2 = 4.5 h</t>
        </is>
      </c>
    </row>
    <row r="109" ht="15" customHeight="1" s="10">
      <c r="A109" s="17" t="inlineStr">
        <is>
          <t>N.MULD</t>
        </is>
      </c>
      <c r="B109" s="17" t="inlineStr">
        <is>
          <t>Multiplication dans D</t>
        </is>
      </c>
      <c r="C109" s="17" t="n">
        <v>4.5</v>
      </c>
      <c r="D109" s="17" t="inlineStr">
        <is>
          <t>RED</t>
        </is>
      </c>
      <c r="E109" s="17" t="inlineStr">
        <is>
          <t>Defaut de redaction ou de justification</t>
        </is>
      </c>
      <c r="F109" s="17" t="n">
        <v>0.15</v>
      </c>
      <c r="G109" s="17" t="n">
        <v>0.5</v>
      </c>
      <c r="H109" s="18" t="inlineStr">
        <is>
          <t>5e ch10 : 9 h / 2 = 4.5 h</t>
        </is>
      </c>
    </row>
    <row r="110" ht="15" customHeight="1" s="10">
      <c r="A110" s="15" t="inlineStr">
        <is>
          <t>N.SCI</t>
        </is>
      </c>
      <c r="B110" s="15" t="inlineStr">
        <is>
          <t>Puissances de dix et ecriture scientifique</t>
        </is>
      </c>
      <c r="C110" s="15" t="n">
        <v>5</v>
      </c>
      <c r="D110" s="15" t="inlineStr">
        <is>
          <t>PRQ</t>
        </is>
      </c>
      <c r="E110" s="15" t="inlineStr">
        <is>
          <t>Prerequis manquant</t>
        </is>
      </c>
      <c r="F110" s="15" t="n">
        <v>0.5</v>
      </c>
      <c r="G110" s="15" t="n">
        <v>2.5</v>
      </c>
      <c r="H110" s="16" t="inlineStr">
        <is>
          <t>4e ch2 : 5 h / 1 = 5.0 h</t>
        </is>
      </c>
    </row>
    <row r="111" ht="15" customHeight="1" s="10">
      <c r="A111" s="17" t="inlineStr">
        <is>
          <t>N.SCI</t>
        </is>
      </c>
      <c r="B111" s="17" t="inlineStr">
        <is>
          <t>Puissances de dix et ecriture scientifique</t>
        </is>
      </c>
      <c r="C111" s="17" t="n">
        <v>5</v>
      </c>
      <c r="D111" s="17" t="inlineStr">
        <is>
          <t>CPT</t>
        </is>
      </c>
      <c r="E111" s="17" t="inlineStr">
        <is>
          <t>Erreur conceptuelle</t>
        </is>
      </c>
      <c r="F111" s="17" t="n">
        <v>0.35</v>
      </c>
      <c r="G111" s="17" t="n">
        <v>2</v>
      </c>
      <c r="H111" s="18" t="inlineStr">
        <is>
          <t>4e ch2 : 5 h / 1 = 5.0 h</t>
        </is>
      </c>
    </row>
    <row r="112" ht="15" customHeight="1" s="10">
      <c r="A112" s="15" t="inlineStr">
        <is>
          <t>N.SCI</t>
        </is>
      </c>
      <c r="B112" s="15" t="inlineStr">
        <is>
          <t>Puissances de dix et ecriture scientifique</t>
        </is>
      </c>
      <c r="C112" s="15" t="n">
        <v>5</v>
      </c>
      <c r="D112" s="15" t="inlineStr">
        <is>
          <t>MOD</t>
        </is>
      </c>
      <c r="E112" s="15" t="inlineStr">
        <is>
          <t>Erreur de modelisation</t>
        </is>
      </c>
      <c r="F112" s="15" t="n">
        <v>0.25</v>
      </c>
      <c r="G112" s="15" t="n">
        <v>1</v>
      </c>
      <c r="H112" s="16" t="inlineStr">
        <is>
          <t>4e ch2 : 5 h / 1 = 5.0 h</t>
        </is>
      </c>
    </row>
    <row r="113" ht="15" customHeight="1" s="10">
      <c r="A113" s="17" t="inlineStr">
        <is>
          <t>N.SCI</t>
        </is>
      </c>
      <c r="B113" s="17" t="inlineStr">
        <is>
          <t>Puissances de dix et ecriture scientifique</t>
        </is>
      </c>
      <c r="C113" s="17" t="n">
        <v>5</v>
      </c>
      <c r="D113" s="17" t="inlineStr">
        <is>
          <t>PRC</t>
        </is>
      </c>
      <c r="E113" s="17" t="inlineStr">
        <is>
          <t>Erreur procedurale</t>
        </is>
      </c>
      <c r="F113" s="17" t="n">
        <v>0.15</v>
      </c>
      <c r="G113" s="17" t="n">
        <v>1</v>
      </c>
      <c r="H113" s="18" t="inlineStr">
        <is>
          <t>4e ch2 : 5 h / 1 = 5.0 h</t>
        </is>
      </c>
    </row>
    <row r="114" ht="15" customHeight="1" s="10">
      <c r="A114" s="15" t="inlineStr">
        <is>
          <t>N.SCI</t>
        </is>
      </c>
      <c r="B114" s="15" t="inlineStr">
        <is>
          <t>Puissances de dix et ecriture scientifique</t>
        </is>
      </c>
      <c r="C114" s="15" t="n">
        <v>5</v>
      </c>
      <c r="D114" s="15" t="inlineStr">
        <is>
          <t>CNS</t>
        </is>
      </c>
      <c r="E114" s="15" t="inlineStr">
        <is>
          <t>Connaissance non disponible</t>
        </is>
      </c>
      <c r="F114" s="15" t="n">
        <v>0.1</v>
      </c>
      <c r="G114" s="15" t="n">
        <v>0.5</v>
      </c>
      <c r="H114" s="16" t="inlineStr">
        <is>
          <t>4e ch2 : 5 h / 1 = 5.0 h</t>
        </is>
      </c>
    </row>
    <row r="115" ht="15" customHeight="1" s="10">
      <c r="A115" s="17" t="inlineStr">
        <is>
          <t>N.SCI</t>
        </is>
      </c>
      <c r="B115" s="17" t="inlineStr">
        <is>
          <t>Puissances de dix et ecriture scientifique</t>
        </is>
      </c>
      <c r="C115" s="17" t="n">
        <v>5</v>
      </c>
      <c r="D115" s="17" t="inlineStr">
        <is>
          <t>RED</t>
        </is>
      </c>
      <c r="E115" s="17" t="inlineStr">
        <is>
          <t>Defaut de redaction ou de justification</t>
        </is>
      </c>
      <c r="F115" s="17" t="n">
        <v>0.15</v>
      </c>
      <c r="G115" s="17" t="n">
        <v>1</v>
      </c>
      <c r="H115" s="18" t="inlineStr">
        <is>
          <t>4e ch2 : 5 h / 1 = 5.0 h</t>
        </is>
      </c>
    </row>
    <row r="116" ht="15" customHeight="1" s="10">
      <c r="A116" s="15" t="inlineStr">
        <is>
          <t>N.RAT</t>
        </is>
      </c>
      <c r="B116" s="15" t="inlineStr">
        <is>
          <t>Quotients de relatifs et rationnels</t>
        </is>
      </c>
      <c r="C116" s="15" t="n">
        <v>15</v>
      </c>
      <c r="D116" s="15" t="inlineStr">
        <is>
          <t>PRQ</t>
        </is>
      </c>
      <c r="E116" s="15" t="inlineStr">
        <is>
          <t>Prerequis manquant</t>
        </is>
      </c>
      <c r="F116" s="15" t="n">
        <v>0.5</v>
      </c>
      <c r="G116" s="15" t="n">
        <v>4</v>
      </c>
      <c r="H116" s="16" t="inlineStr">
        <is>
          <t>4e ch5 : 10 h / 1 = 10.0 h + 4e ch8 : 10 h / 2 = 5.0 h</t>
        </is>
      </c>
    </row>
    <row r="117" ht="15" customHeight="1" s="10">
      <c r="A117" s="17" t="inlineStr">
        <is>
          <t>N.RAT</t>
        </is>
      </c>
      <c r="B117" s="17" t="inlineStr">
        <is>
          <t>Quotients de relatifs et rationnels</t>
        </is>
      </c>
      <c r="C117" s="17" t="n">
        <v>15</v>
      </c>
      <c r="D117" s="17" t="inlineStr">
        <is>
          <t>CPT</t>
        </is>
      </c>
      <c r="E117" s="17" t="inlineStr">
        <is>
          <t>Erreur conceptuelle</t>
        </is>
      </c>
      <c r="F117" s="17" t="n">
        <v>0.35</v>
      </c>
      <c r="G117" s="17" t="n">
        <v>4</v>
      </c>
      <c r="H117" s="18" t="inlineStr">
        <is>
          <t>4e ch5 : 10 h / 1 = 10.0 h + 4e ch8 : 10 h / 2 = 5.0 h</t>
        </is>
      </c>
    </row>
    <row r="118" ht="15" customHeight="1" s="10">
      <c r="A118" s="15" t="inlineStr">
        <is>
          <t>N.RAT</t>
        </is>
      </c>
      <c r="B118" s="15" t="inlineStr">
        <is>
          <t>Quotients de relatifs et rationnels</t>
        </is>
      </c>
      <c r="C118" s="15" t="n">
        <v>15</v>
      </c>
      <c r="D118" s="15" t="inlineStr">
        <is>
          <t>MOD</t>
        </is>
      </c>
      <c r="E118" s="15" t="inlineStr">
        <is>
          <t>Erreur de modelisation</t>
        </is>
      </c>
      <c r="F118" s="15" t="n">
        <v>0.25</v>
      </c>
      <c r="G118" s="15" t="n">
        <v>4</v>
      </c>
      <c r="H118" s="16" t="inlineStr">
        <is>
          <t>4e ch5 : 10 h / 1 = 10.0 h + 4e ch8 : 10 h / 2 = 5.0 h</t>
        </is>
      </c>
    </row>
    <row r="119" ht="15" customHeight="1" s="10">
      <c r="A119" s="17" t="inlineStr">
        <is>
          <t>N.RAT</t>
        </is>
      </c>
      <c r="B119" s="17" t="inlineStr">
        <is>
          <t>Quotients de relatifs et rationnels</t>
        </is>
      </c>
      <c r="C119" s="17" t="n">
        <v>15</v>
      </c>
      <c r="D119" s="17" t="inlineStr">
        <is>
          <t>PRC</t>
        </is>
      </c>
      <c r="E119" s="17" t="inlineStr">
        <is>
          <t>Erreur procedurale</t>
        </is>
      </c>
      <c r="F119" s="17" t="n">
        <v>0.15</v>
      </c>
      <c r="G119" s="17" t="n">
        <v>2</v>
      </c>
      <c r="H119" s="18" t="inlineStr">
        <is>
          <t>4e ch5 : 10 h / 1 = 10.0 h + 4e ch8 : 10 h / 2 = 5.0 h</t>
        </is>
      </c>
    </row>
    <row r="120" ht="15" customHeight="1" s="10">
      <c r="A120" s="15" t="inlineStr">
        <is>
          <t>N.RAT</t>
        </is>
      </c>
      <c r="B120" s="15" t="inlineStr">
        <is>
          <t>Quotients de relatifs et rationnels</t>
        </is>
      </c>
      <c r="C120" s="15" t="n">
        <v>15</v>
      </c>
      <c r="D120" s="15" t="inlineStr">
        <is>
          <t>CNS</t>
        </is>
      </c>
      <c r="E120" s="15" t="inlineStr">
        <is>
          <t>Connaissance non disponible</t>
        </is>
      </c>
      <c r="F120" s="15" t="n">
        <v>0.1</v>
      </c>
      <c r="G120" s="15" t="n">
        <v>1.5</v>
      </c>
      <c r="H120" s="16" t="inlineStr">
        <is>
          <t>4e ch5 : 10 h / 1 = 10.0 h + 4e ch8 : 10 h / 2 = 5.0 h</t>
        </is>
      </c>
    </row>
    <row r="121" ht="15" customHeight="1" s="10">
      <c r="A121" s="17" t="inlineStr">
        <is>
          <t>N.RAT</t>
        </is>
      </c>
      <c r="B121" s="17" t="inlineStr">
        <is>
          <t>Quotients de relatifs et rationnels</t>
        </is>
      </c>
      <c r="C121" s="17" t="n">
        <v>15</v>
      </c>
      <c r="D121" s="17" t="inlineStr">
        <is>
          <t>RED</t>
        </is>
      </c>
      <c r="E121" s="17" t="inlineStr">
        <is>
          <t>Defaut de redaction ou de justification</t>
        </is>
      </c>
      <c r="F121" s="17" t="n">
        <v>0.15</v>
      </c>
      <c r="G121" s="17" t="n">
        <v>2</v>
      </c>
      <c r="H121" s="18" t="inlineStr">
        <is>
          <t>4e ch5 : 10 h / 1 = 10.0 h + 4e ch8 : 10 h / 2 = 5.0 h</t>
        </is>
      </c>
    </row>
    <row r="122" ht="15" customHeight="1" s="10">
      <c r="A122" s="15" t="inlineStr">
        <is>
          <t>N.ENS</t>
        </is>
      </c>
      <c r="B122" s="15" t="inlineStr">
        <is>
          <t>Ensembles de nombres</t>
        </is>
      </c>
      <c r="C122" s="15" t="n">
        <v>7.5</v>
      </c>
      <c r="D122" s="15" t="inlineStr">
        <is>
          <t>PRQ</t>
        </is>
      </c>
      <c r="E122" s="15" t="inlineStr">
        <is>
          <t>Prerequis manquant</t>
        </is>
      </c>
      <c r="F122" s="15" t="n">
        <v>0.5</v>
      </c>
      <c r="G122" s="15" t="n">
        <v>4</v>
      </c>
      <c r="H122" s="16" t="inlineStr">
        <is>
          <t>4e ch8 : 10 h / 2 = 5.0 h + 4e ch10 : 5 h / 2 = 2.5 h</t>
        </is>
      </c>
    </row>
    <row r="123" ht="15" customHeight="1" s="10">
      <c r="A123" s="17" t="inlineStr">
        <is>
          <t>N.ENS</t>
        </is>
      </c>
      <c r="B123" s="17" t="inlineStr">
        <is>
          <t>Ensembles de nombres</t>
        </is>
      </c>
      <c r="C123" s="17" t="n">
        <v>7.5</v>
      </c>
      <c r="D123" s="17" t="inlineStr">
        <is>
          <t>CPT</t>
        </is>
      </c>
      <c r="E123" s="17" t="inlineStr">
        <is>
          <t>Erreur conceptuelle</t>
        </is>
      </c>
      <c r="F123" s="17" t="n">
        <v>0.35</v>
      </c>
      <c r="G123" s="17" t="n">
        <v>2.5</v>
      </c>
      <c r="H123" s="18" t="inlineStr">
        <is>
          <t>4e ch8 : 10 h / 2 = 5.0 h + 4e ch10 : 5 h / 2 = 2.5 h</t>
        </is>
      </c>
    </row>
    <row r="124" ht="15" customHeight="1" s="10">
      <c r="A124" s="15" t="inlineStr">
        <is>
          <t>N.ENS</t>
        </is>
      </c>
      <c r="B124" s="15" t="inlineStr">
        <is>
          <t>Ensembles de nombres</t>
        </is>
      </c>
      <c r="C124" s="15" t="n">
        <v>7.5</v>
      </c>
      <c r="D124" s="15" t="inlineStr">
        <is>
          <t>MOD</t>
        </is>
      </c>
      <c r="E124" s="15" t="inlineStr">
        <is>
          <t>Erreur de modelisation</t>
        </is>
      </c>
      <c r="F124" s="15" t="n">
        <v>0.25</v>
      </c>
      <c r="G124" s="15" t="n">
        <v>2</v>
      </c>
      <c r="H124" s="16" t="inlineStr">
        <is>
          <t>4e ch8 : 10 h / 2 = 5.0 h + 4e ch10 : 5 h / 2 = 2.5 h</t>
        </is>
      </c>
    </row>
    <row r="125" ht="15" customHeight="1" s="10">
      <c r="A125" s="17" t="inlineStr">
        <is>
          <t>N.ENS</t>
        </is>
      </c>
      <c r="B125" s="17" t="inlineStr">
        <is>
          <t>Ensembles de nombres</t>
        </is>
      </c>
      <c r="C125" s="17" t="n">
        <v>7.5</v>
      </c>
      <c r="D125" s="17" t="inlineStr">
        <is>
          <t>PRC</t>
        </is>
      </c>
      <c r="E125" s="17" t="inlineStr">
        <is>
          <t>Erreur procedurale</t>
        </is>
      </c>
      <c r="F125" s="17" t="n">
        <v>0.15</v>
      </c>
      <c r="G125" s="17" t="n">
        <v>1</v>
      </c>
      <c r="H125" s="18" t="inlineStr">
        <is>
          <t>4e ch8 : 10 h / 2 = 5.0 h + 4e ch10 : 5 h / 2 = 2.5 h</t>
        </is>
      </c>
    </row>
    <row r="126" ht="15" customHeight="1" s="10">
      <c r="A126" s="15" t="inlineStr">
        <is>
          <t>N.ENS</t>
        </is>
      </c>
      <c r="B126" s="15" t="inlineStr">
        <is>
          <t>Ensembles de nombres</t>
        </is>
      </c>
      <c r="C126" s="15" t="n">
        <v>7.5</v>
      </c>
      <c r="D126" s="15" t="inlineStr">
        <is>
          <t>CNS</t>
        </is>
      </c>
      <c r="E126" s="15" t="inlineStr">
        <is>
          <t>Connaissance non disponible</t>
        </is>
      </c>
      <c r="F126" s="15" t="n">
        <v>0.1</v>
      </c>
      <c r="G126" s="15" t="n">
        <v>1</v>
      </c>
      <c r="H126" s="16" t="inlineStr">
        <is>
          <t>4e ch8 : 10 h / 2 = 5.0 h + 4e ch10 : 5 h / 2 = 2.5 h</t>
        </is>
      </c>
    </row>
    <row r="127" ht="15" customHeight="1" s="10">
      <c r="A127" s="17" t="inlineStr">
        <is>
          <t>N.ENS</t>
        </is>
      </c>
      <c r="B127" s="17" t="inlineStr">
        <is>
          <t>Ensembles de nombres</t>
        </is>
      </c>
      <c r="C127" s="17" t="n">
        <v>7.5</v>
      </c>
      <c r="D127" s="17" t="inlineStr">
        <is>
          <t>RED</t>
        </is>
      </c>
      <c r="E127" s="17" t="inlineStr">
        <is>
          <t>Defaut de redaction ou de justification</t>
        </is>
      </c>
      <c r="F127" s="17" t="n">
        <v>0.15</v>
      </c>
      <c r="G127" s="17" t="n">
        <v>1</v>
      </c>
      <c r="H127" s="18" t="inlineStr">
        <is>
          <t>4e ch8 : 10 h / 2 = 5.0 h + 4e ch10 : 5 h / 2 = 2.5 h</t>
        </is>
      </c>
    </row>
    <row r="128" ht="15" customHeight="1" s="10">
      <c r="A128" s="15" t="inlineStr">
        <is>
          <t>N.APP</t>
        </is>
      </c>
      <c r="B128" s="15" t="inlineStr">
        <is>
          <t>Approximation et encadrement</t>
        </is>
      </c>
      <c r="C128" s="15" t="n">
        <v>2.5</v>
      </c>
      <c r="D128" s="15" t="inlineStr">
        <is>
          <t>PRQ</t>
        </is>
      </c>
      <c r="E128" s="15" t="inlineStr">
        <is>
          <t>Prerequis manquant</t>
        </is>
      </c>
      <c r="F128" s="15" t="n">
        <v>0.5</v>
      </c>
      <c r="G128" s="15" t="n">
        <v>1</v>
      </c>
      <c r="H128" s="16" t="inlineStr">
        <is>
          <t>4e ch10 : 5 h / 2 = 2.5 h</t>
        </is>
      </c>
    </row>
    <row r="129" ht="15" customHeight="1" s="10">
      <c r="A129" s="17" t="inlineStr">
        <is>
          <t>N.APP</t>
        </is>
      </c>
      <c r="B129" s="17" t="inlineStr">
        <is>
          <t>Approximation et encadrement</t>
        </is>
      </c>
      <c r="C129" s="17" t="n">
        <v>2.5</v>
      </c>
      <c r="D129" s="17" t="inlineStr">
        <is>
          <t>CPT</t>
        </is>
      </c>
      <c r="E129" s="17" t="inlineStr">
        <is>
          <t>Erreur conceptuelle</t>
        </is>
      </c>
      <c r="F129" s="17" t="n">
        <v>0.35</v>
      </c>
      <c r="G129" s="17" t="n">
        <v>1</v>
      </c>
      <c r="H129" s="18" t="inlineStr">
        <is>
          <t>4e ch10 : 5 h / 2 = 2.5 h</t>
        </is>
      </c>
    </row>
    <row r="130" ht="15" customHeight="1" s="10">
      <c r="A130" s="15" t="inlineStr">
        <is>
          <t>N.APP</t>
        </is>
      </c>
      <c r="B130" s="15" t="inlineStr">
        <is>
          <t>Approximation et encadrement</t>
        </is>
      </c>
      <c r="C130" s="15" t="n">
        <v>2.5</v>
      </c>
      <c r="D130" s="15" t="inlineStr">
        <is>
          <t>MOD</t>
        </is>
      </c>
      <c r="E130" s="15" t="inlineStr">
        <is>
          <t>Erreur de modelisation</t>
        </is>
      </c>
      <c r="F130" s="15" t="n">
        <v>0.25</v>
      </c>
      <c r="G130" s="15" t="n">
        <v>0.5</v>
      </c>
      <c r="H130" s="16" t="inlineStr">
        <is>
          <t>4e ch10 : 5 h / 2 = 2.5 h</t>
        </is>
      </c>
    </row>
    <row r="131" ht="15" customHeight="1" s="10">
      <c r="A131" s="17" t="inlineStr">
        <is>
          <t>N.APP</t>
        </is>
      </c>
      <c r="B131" s="17" t="inlineStr">
        <is>
          <t>Approximation et encadrement</t>
        </is>
      </c>
      <c r="C131" s="17" t="n">
        <v>2.5</v>
      </c>
      <c r="D131" s="17" t="inlineStr">
        <is>
          <t>PRC</t>
        </is>
      </c>
      <c r="E131" s="17" t="inlineStr">
        <is>
          <t>Erreur procedurale</t>
        </is>
      </c>
      <c r="F131" s="17" t="n">
        <v>0.15</v>
      </c>
      <c r="G131" s="17" t="n">
        <v>0.5</v>
      </c>
      <c r="H131" s="18" t="inlineStr">
        <is>
          <t>4e ch10 : 5 h / 2 = 2.5 h</t>
        </is>
      </c>
    </row>
    <row r="132" ht="15" customHeight="1" s="10">
      <c r="A132" s="15" t="inlineStr">
        <is>
          <t>N.APP</t>
        </is>
      </c>
      <c r="B132" s="15" t="inlineStr">
        <is>
          <t>Approximation et encadrement</t>
        </is>
      </c>
      <c r="C132" s="15" t="n">
        <v>2.5</v>
      </c>
      <c r="D132" s="15" t="inlineStr">
        <is>
          <t>CNS</t>
        </is>
      </c>
      <c r="E132" s="15" t="inlineStr">
        <is>
          <t>Connaissance non disponible</t>
        </is>
      </c>
      <c r="F132" s="15" t="n">
        <v>0.1</v>
      </c>
      <c r="G132" s="15" t="n">
        <v>0.5</v>
      </c>
      <c r="H132" s="16" t="inlineStr">
        <is>
          <t>4e ch10 : 5 h / 2 = 2.5 h</t>
        </is>
      </c>
    </row>
    <row r="133" ht="15" customHeight="1" s="10">
      <c r="A133" s="17" t="inlineStr">
        <is>
          <t>N.APP</t>
        </is>
      </c>
      <c r="B133" s="17" t="inlineStr">
        <is>
          <t>Approximation et encadrement</t>
        </is>
      </c>
      <c r="C133" s="17" t="n">
        <v>2.5</v>
      </c>
      <c r="D133" s="17" t="inlineStr">
        <is>
          <t>RED</t>
        </is>
      </c>
      <c r="E133" s="17" t="inlineStr">
        <is>
          <t>Defaut de redaction ou de justification</t>
        </is>
      </c>
      <c r="F133" s="17" t="n">
        <v>0.15</v>
      </c>
      <c r="G133" s="17" t="n">
        <v>0.5</v>
      </c>
      <c r="H133" s="18" t="inlineStr">
        <is>
          <t>4e ch10 : 5 h / 2 = 2.5 h</t>
        </is>
      </c>
    </row>
    <row r="134" ht="15" customHeight="1" s="10">
      <c r="A134" s="15" t="inlineStr">
        <is>
          <t>N.RAC</t>
        </is>
      </c>
      <c r="B134" s="15" t="inlineStr">
        <is>
          <t>Racines carrees et radicaux</t>
        </is>
      </c>
      <c r="C134" s="15" t="n">
        <v>5</v>
      </c>
      <c r="D134" s="15" t="inlineStr">
        <is>
          <t>PRQ</t>
        </is>
      </c>
      <c r="E134" s="15" t="inlineStr">
        <is>
          <t>Prerequis manquant</t>
        </is>
      </c>
      <c r="F134" s="15" t="n">
        <v>0.5</v>
      </c>
      <c r="G134" s="15" t="n">
        <v>2.5</v>
      </c>
      <c r="H134" s="16" t="inlineStr">
        <is>
          <t>3e ch4 : 5 h / 1 = 5.0 h</t>
        </is>
      </c>
    </row>
    <row r="135" ht="15" customHeight="1" s="10">
      <c r="A135" s="17" t="inlineStr">
        <is>
          <t>N.RAC</t>
        </is>
      </c>
      <c r="B135" s="17" t="inlineStr">
        <is>
          <t>Racines carrees et radicaux</t>
        </is>
      </c>
      <c r="C135" s="17" t="n">
        <v>5</v>
      </c>
      <c r="D135" s="17" t="inlineStr">
        <is>
          <t>CPT</t>
        </is>
      </c>
      <c r="E135" s="17" t="inlineStr">
        <is>
          <t>Erreur conceptuelle</t>
        </is>
      </c>
      <c r="F135" s="17" t="n">
        <v>0.35</v>
      </c>
      <c r="G135" s="17" t="n">
        <v>2</v>
      </c>
      <c r="H135" s="18" t="inlineStr">
        <is>
          <t>3e ch4 : 5 h / 1 = 5.0 h</t>
        </is>
      </c>
    </row>
    <row r="136" ht="15" customHeight="1" s="10">
      <c r="A136" s="15" t="inlineStr">
        <is>
          <t>N.RAC</t>
        </is>
      </c>
      <c r="B136" s="15" t="inlineStr">
        <is>
          <t>Racines carrees et radicaux</t>
        </is>
      </c>
      <c r="C136" s="15" t="n">
        <v>5</v>
      </c>
      <c r="D136" s="15" t="inlineStr">
        <is>
          <t>MOD</t>
        </is>
      </c>
      <c r="E136" s="15" t="inlineStr">
        <is>
          <t>Erreur de modelisation</t>
        </is>
      </c>
      <c r="F136" s="15" t="n">
        <v>0.25</v>
      </c>
      <c r="G136" s="15" t="n">
        <v>1</v>
      </c>
      <c r="H136" s="16" t="inlineStr">
        <is>
          <t>3e ch4 : 5 h / 1 = 5.0 h</t>
        </is>
      </c>
    </row>
    <row r="137" ht="15" customHeight="1" s="10">
      <c r="A137" s="17" t="inlineStr">
        <is>
          <t>N.RAC</t>
        </is>
      </c>
      <c r="B137" s="17" t="inlineStr">
        <is>
          <t>Racines carrees et radicaux</t>
        </is>
      </c>
      <c r="C137" s="17" t="n">
        <v>5</v>
      </c>
      <c r="D137" s="17" t="inlineStr">
        <is>
          <t>PRC</t>
        </is>
      </c>
      <c r="E137" s="17" t="inlineStr">
        <is>
          <t>Erreur procedurale</t>
        </is>
      </c>
      <c r="F137" s="17" t="n">
        <v>0.15</v>
      </c>
      <c r="G137" s="17" t="n">
        <v>1</v>
      </c>
      <c r="H137" s="18" t="inlineStr">
        <is>
          <t>3e ch4 : 5 h / 1 = 5.0 h</t>
        </is>
      </c>
    </row>
    <row r="138" ht="15" customHeight="1" s="10">
      <c r="A138" s="15" t="inlineStr">
        <is>
          <t>N.RAC</t>
        </is>
      </c>
      <c r="B138" s="15" t="inlineStr">
        <is>
          <t>Racines carrees et radicaux</t>
        </is>
      </c>
      <c r="C138" s="15" t="n">
        <v>5</v>
      </c>
      <c r="D138" s="15" t="inlineStr">
        <is>
          <t>CNS</t>
        </is>
      </c>
      <c r="E138" s="15" t="inlineStr">
        <is>
          <t>Connaissance non disponible</t>
        </is>
      </c>
      <c r="F138" s="15" t="n">
        <v>0.1</v>
      </c>
      <c r="G138" s="15" t="n">
        <v>0.5</v>
      </c>
      <c r="H138" s="16" t="inlineStr">
        <is>
          <t>3e ch4 : 5 h / 1 = 5.0 h</t>
        </is>
      </c>
    </row>
    <row r="139" ht="15" customHeight="1" s="10">
      <c r="A139" s="17" t="inlineStr">
        <is>
          <t>N.RAC</t>
        </is>
      </c>
      <c r="B139" s="17" t="inlineStr">
        <is>
          <t>Racines carrees et radicaux</t>
        </is>
      </c>
      <c r="C139" s="17" t="n">
        <v>5</v>
      </c>
      <c r="D139" s="17" t="inlineStr">
        <is>
          <t>RED</t>
        </is>
      </c>
      <c r="E139" s="17" t="inlineStr">
        <is>
          <t>Defaut de redaction ou de justification</t>
        </is>
      </c>
      <c r="F139" s="17" t="n">
        <v>0.15</v>
      </c>
      <c r="G139" s="17" t="n">
        <v>1</v>
      </c>
      <c r="H139" s="18" t="inlineStr">
        <is>
          <t>3e ch4 : 5 h / 1 = 5.0 h</t>
        </is>
      </c>
    </row>
    <row r="140" ht="15" customHeight="1" s="10">
      <c r="A140" s="15" t="inlineStr">
        <is>
          <t>N.INT</t>
        </is>
      </c>
      <c r="B140" s="15" t="inlineStr">
        <is>
          <t>Intervalles et distance</t>
        </is>
      </c>
      <c r="C140" s="15" t="n">
        <v>7</v>
      </c>
      <c r="D140" s="15" t="inlineStr">
        <is>
          <t>PRQ</t>
        </is>
      </c>
      <c r="E140" s="15" t="inlineStr">
        <is>
          <t>Prerequis manquant</t>
        </is>
      </c>
      <c r="F140" s="15" t="n">
        <v>0.5</v>
      </c>
      <c r="G140" s="15" t="n">
        <v>3.5</v>
      </c>
      <c r="H140" s="16" t="inlineStr">
        <is>
          <t>3e ch1 : 7 h / 1 = 7.0 h</t>
        </is>
      </c>
    </row>
    <row r="141" ht="15" customHeight="1" s="10">
      <c r="A141" s="17" t="inlineStr">
        <is>
          <t>N.INT</t>
        </is>
      </c>
      <c r="B141" s="17" t="inlineStr">
        <is>
          <t>Intervalles et distance</t>
        </is>
      </c>
      <c r="C141" s="17" t="n">
        <v>7</v>
      </c>
      <c r="D141" s="17" t="inlineStr">
        <is>
          <t>CPT</t>
        </is>
      </c>
      <c r="E141" s="17" t="inlineStr">
        <is>
          <t>Erreur conceptuelle</t>
        </is>
      </c>
      <c r="F141" s="17" t="n">
        <v>0.35</v>
      </c>
      <c r="G141" s="17" t="n">
        <v>2.5</v>
      </c>
      <c r="H141" s="18" t="inlineStr">
        <is>
          <t>3e ch1 : 7 h / 1 = 7.0 h</t>
        </is>
      </c>
    </row>
    <row r="142" ht="15" customHeight="1" s="10">
      <c r="A142" s="15" t="inlineStr">
        <is>
          <t>N.INT</t>
        </is>
      </c>
      <c r="B142" s="15" t="inlineStr">
        <is>
          <t>Intervalles et distance</t>
        </is>
      </c>
      <c r="C142" s="15" t="n">
        <v>7</v>
      </c>
      <c r="D142" s="15" t="inlineStr">
        <is>
          <t>MOD</t>
        </is>
      </c>
      <c r="E142" s="15" t="inlineStr">
        <is>
          <t>Erreur de modelisation</t>
        </is>
      </c>
      <c r="F142" s="15" t="n">
        <v>0.25</v>
      </c>
      <c r="G142" s="15" t="n">
        <v>2</v>
      </c>
      <c r="H142" s="16" t="inlineStr">
        <is>
          <t>3e ch1 : 7 h / 1 = 7.0 h</t>
        </is>
      </c>
    </row>
    <row r="143" ht="15" customHeight="1" s="10">
      <c r="A143" s="17" t="inlineStr">
        <is>
          <t>N.INT</t>
        </is>
      </c>
      <c r="B143" s="17" t="inlineStr">
        <is>
          <t>Intervalles et distance</t>
        </is>
      </c>
      <c r="C143" s="17" t="n">
        <v>7</v>
      </c>
      <c r="D143" s="17" t="inlineStr">
        <is>
          <t>PRC</t>
        </is>
      </c>
      <c r="E143" s="17" t="inlineStr">
        <is>
          <t>Erreur procedurale</t>
        </is>
      </c>
      <c r="F143" s="17" t="n">
        <v>0.15</v>
      </c>
      <c r="G143" s="17" t="n">
        <v>1</v>
      </c>
      <c r="H143" s="18" t="inlineStr">
        <is>
          <t>3e ch1 : 7 h / 1 = 7.0 h</t>
        </is>
      </c>
    </row>
    <row r="144" ht="15" customHeight="1" s="10">
      <c r="A144" s="15" t="inlineStr">
        <is>
          <t>N.INT</t>
        </is>
      </c>
      <c r="B144" s="15" t="inlineStr">
        <is>
          <t>Intervalles et distance</t>
        </is>
      </c>
      <c r="C144" s="15" t="n">
        <v>7</v>
      </c>
      <c r="D144" s="15" t="inlineStr">
        <is>
          <t>CNS</t>
        </is>
      </c>
      <c r="E144" s="15" t="inlineStr">
        <is>
          <t>Connaissance non disponible</t>
        </is>
      </c>
      <c r="F144" s="15" t="n">
        <v>0.1</v>
      </c>
      <c r="G144" s="15" t="n">
        <v>0.5</v>
      </c>
      <c r="H144" s="16" t="inlineStr">
        <is>
          <t>3e ch1 : 7 h / 1 = 7.0 h</t>
        </is>
      </c>
    </row>
    <row r="145" ht="15" customHeight="1" s="10">
      <c r="A145" s="17" t="inlineStr">
        <is>
          <t>N.INT</t>
        </is>
      </c>
      <c r="B145" s="17" t="inlineStr">
        <is>
          <t>Intervalles et distance</t>
        </is>
      </c>
      <c r="C145" s="17" t="n">
        <v>7</v>
      </c>
      <c r="D145" s="17" t="inlineStr">
        <is>
          <t>RED</t>
        </is>
      </c>
      <c r="E145" s="17" t="inlineStr">
        <is>
          <t>Defaut de redaction ou de justification</t>
        </is>
      </c>
      <c r="F145" s="17" t="n">
        <v>0.15</v>
      </c>
      <c r="G145" s="17" t="n">
        <v>1</v>
      </c>
      <c r="H145" s="18" t="inlineStr">
        <is>
          <t>3e ch1 : 7 h / 1 = 7.0 h</t>
        </is>
      </c>
    </row>
    <row r="146" ht="15" customHeight="1" s="10">
      <c r="A146" s="15" t="inlineStr">
        <is>
          <t>L.EGA</t>
        </is>
      </c>
      <c r="B146" s="15" t="inlineStr">
        <is>
          <t>Egalites et transformations</t>
        </is>
      </c>
      <c r="C146" s="15" t="n">
        <v>2</v>
      </c>
      <c r="D146" s="15" t="inlineStr">
        <is>
          <t>PRQ</t>
        </is>
      </c>
      <c r="E146" s="15" t="inlineStr">
        <is>
          <t>Prerequis manquant</t>
        </is>
      </c>
      <c r="F146" s="15" t="n">
        <v>0.5</v>
      </c>
      <c r="G146" s="15" t="n">
        <v>1</v>
      </c>
      <c r="H146" s="16" t="inlineStr">
        <is>
          <t>5e ch13 : 2 h / 1 = 2.0 h</t>
        </is>
      </c>
    </row>
    <row r="147" ht="15" customHeight="1" s="10">
      <c r="A147" s="17" t="inlineStr">
        <is>
          <t>L.EGA</t>
        </is>
      </c>
      <c r="B147" s="17" t="inlineStr">
        <is>
          <t>Egalites et transformations</t>
        </is>
      </c>
      <c r="C147" s="17" t="n">
        <v>2</v>
      </c>
      <c r="D147" s="17" t="inlineStr">
        <is>
          <t>CPT</t>
        </is>
      </c>
      <c r="E147" s="17" t="inlineStr">
        <is>
          <t>Erreur conceptuelle</t>
        </is>
      </c>
      <c r="F147" s="17" t="n">
        <v>0.35</v>
      </c>
      <c r="G147" s="17" t="n">
        <v>0.5</v>
      </c>
      <c r="H147" s="18" t="inlineStr">
        <is>
          <t>5e ch13 : 2 h / 1 = 2.0 h</t>
        </is>
      </c>
    </row>
    <row r="148" ht="15" customHeight="1" s="10">
      <c r="A148" s="15" t="inlineStr">
        <is>
          <t>L.EGA</t>
        </is>
      </c>
      <c r="B148" s="15" t="inlineStr">
        <is>
          <t>Egalites et transformations</t>
        </is>
      </c>
      <c r="C148" s="15" t="n">
        <v>2</v>
      </c>
      <c r="D148" s="15" t="inlineStr">
        <is>
          <t>MOD</t>
        </is>
      </c>
      <c r="E148" s="15" t="inlineStr">
        <is>
          <t>Erreur de modelisation</t>
        </is>
      </c>
      <c r="F148" s="15" t="n">
        <v>0.25</v>
      </c>
      <c r="G148" s="15" t="n">
        <v>0.5</v>
      </c>
      <c r="H148" s="16" t="inlineStr">
        <is>
          <t>5e ch13 : 2 h / 1 = 2.0 h</t>
        </is>
      </c>
    </row>
    <row r="149" ht="15" customHeight="1" s="10">
      <c r="A149" s="17" t="inlineStr">
        <is>
          <t>L.EGA</t>
        </is>
      </c>
      <c r="B149" s="17" t="inlineStr">
        <is>
          <t>Egalites et transformations</t>
        </is>
      </c>
      <c r="C149" s="17" t="n">
        <v>2</v>
      </c>
      <c r="D149" s="17" t="inlineStr">
        <is>
          <t>PRC</t>
        </is>
      </c>
      <c r="E149" s="17" t="inlineStr">
        <is>
          <t>Erreur procedurale</t>
        </is>
      </c>
      <c r="F149" s="17" t="n">
        <v>0.15</v>
      </c>
      <c r="G149" s="17" t="n">
        <v>0.5</v>
      </c>
      <c r="H149" s="18" t="inlineStr">
        <is>
          <t>5e ch13 : 2 h / 1 = 2.0 h</t>
        </is>
      </c>
    </row>
    <row r="150" ht="15" customHeight="1" s="10">
      <c r="A150" s="15" t="inlineStr">
        <is>
          <t>L.EGA</t>
        </is>
      </c>
      <c r="B150" s="15" t="inlineStr">
        <is>
          <t>Egalites et transformations</t>
        </is>
      </c>
      <c r="C150" s="15" t="n">
        <v>2</v>
      </c>
      <c r="D150" s="15" t="inlineStr">
        <is>
          <t>CNS</t>
        </is>
      </c>
      <c r="E150" s="15" t="inlineStr">
        <is>
          <t>Connaissance non disponible</t>
        </is>
      </c>
      <c r="F150" s="15" t="n">
        <v>0.1</v>
      </c>
      <c r="G150" s="15" t="n">
        <v>0.5</v>
      </c>
      <c r="H150" s="16" t="inlineStr">
        <is>
          <t>5e ch13 : 2 h / 1 = 2.0 h</t>
        </is>
      </c>
    </row>
    <row r="151" ht="15" customHeight="1" s="10">
      <c r="A151" s="17" t="inlineStr">
        <is>
          <t>L.EGA</t>
        </is>
      </c>
      <c r="B151" s="17" t="inlineStr">
        <is>
          <t>Egalites et transformations</t>
        </is>
      </c>
      <c r="C151" s="17" t="n">
        <v>2</v>
      </c>
      <c r="D151" s="17" t="inlineStr">
        <is>
          <t>RED</t>
        </is>
      </c>
      <c r="E151" s="17" t="inlineStr">
        <is>
          <t>Defaut de redaction ou de justification</t>
        </is>
      </c>
      <c r="F151" s="17" t="n">
        <v>0.15</v>
      </c>
      <c r="G151" s="17" t="n">
        <v>0.5</v>
      </c>
      <c r="H151" s="18" t="inlineStr">
        <is>
          <t>5e ch13 : 2 h / 1 = 2.0 h</t>
        </is>
      </c>
    </row>
    <row r="152" ht="15" customHeight="1" s="10">
      <c r="A152" s="15" t="inlineStr">
        <is>
          <t>L.EQD</t>
        </is>
      </c>
      <c r="B152" s="15" t="inlineStr">
        <is>
          <t>Equations dans D</t>
        </is>
      </c>
      <c r="C152" s="15" t="n">
        <v>4</v>
      </c>
      <c r="D152" s="15" t="inlineStr">
        <is>
          <t>PRQ</t>
        </is>
      </c>
      <c r="E152" s="15" t="inlineStr">
        <is>
          <t>Prerequis manquant</t>
        </is>
      </c>
      <c r="F152" s="15" t="n">
        <v>0.5</v>
      </c>
      <c r="G152" s="15" t="n">
        <v>2</v>
      </c>
      <c r="H152" s="16" t="inlineStr">
        <is>
          <t>5e ch14 : 4 h / 1 = 4.0 h</t>
        </is>
      </c>
    </row>
    <row r="153" ht="15" customHeight="1" s="10">
      <c r="A153" s="17" t="inlineStr">
        <is>
          <t>L.EQD</t>
        </is>
      </c>
      <c r="B153" s="17" t="inlineStr">
        <is>
          <t>Equations dans D</t>
        </is>
      </c>
      <c r="C153" s="17" t="n">
        <v>4</v>
      </c>
      <c r="D153" s="17" t="inlineStr">
        <is>
          <t>CPT</t>
        </is>
      </c>
      <c r="E153" s="17" t="inlineStr">
        <is>
          <t>Erreur conceptuelle</t>
        </is>
      </c>
      <c r="F153" s="17" t="n">
        <v>0.35</v>
      </c>
      <c r="G153" s="17" t="n">
        <v>1.5</v>
      </c>
      <c r="H153" s="18" t="inlineStr">
        <is>
          <t>5e ch14 : 4 h / 1 = 4.0 h</t>
        </is>
      </c>
    </row>
    <row r="154" ht="15" customHeight="1" s="10">
      <c r="A154" s="15" t="inlineStr">
        <is>
          <t>L.EQD</t>
        </is>
      </c>
      <c r="B154" s="15" t="inlineStr">
        <is>
          <t>Equations dans D</t>
        </is>
      </c>
      <c r="C154" s="15" t="n">
        <v>4</v>
      </c>
      <c r="D154" s="15" t="inlineStr">
        <is>
          <t>MOD</t>
        </is>
      </c>
      <c r="E154" s="15" t="inlineStr">
        <is>
          <t>Erreur de modelisation</t>
        </is>
      </c>
      <c r="F154" s="15" t="n">
        <v>0.25</v>
      </c>
      <c r="G154" s="15" t="n">
        <v>1</v>
      </c>
      <c r="H154" s="16" t="inlineStr">
        <is>
          <t>5e ch14 : 4 h / 1 = 4.0 h</t>
        </is>
      </c>
    </row>
    <row r="155" ht="15" customHeight="1" s="10">
      <c r="A155" s="17" t="inlineStr">
        <is>
          <t>L.EQD</t>
        </is>
      </c>
      <c r="B155" s="17" t="inlineStr">
        <is>
          <t>Equations dans D</t>
        </is>
      </c>
      <c r="C155" s="17" t="n">
        <v>4</v>
      </c>
      <c r="D155" s="17" t="inlineStr">
        <is>
          <t>PRC</t>
        </is>
      </c>
      <c r="E155" s="17" t="inlineStr">
        <is>
          <t>Erreur procedurale</t>
        </is>
      </c>
      <c r="F155" s="17" t="n">
        <v>0.15</v>
      </c>
      <c r="G155" s="17" t="n">
        <v>0.5</v>
      </c>
      <c r="H155" s="18" t="inlineStr">
        <is>
          <t>5e ch14 : 4 h / 1 = 4.0 h</t>
        </is>
      </c>
    </row>
    <row r="156" ht="15" customHeight="1" s="10">
      <c r="A156" s="15" t="inlineStr">
        <is>
          <t>L.EQD</t>
        </is>
      </c>
      <c r="B156" s="15" t="inlineStr">
        <is>
          <t>Equations dans D</t>
        </is>
      </c>
      <c r="C156" s="15" t="n">
        <v>4</v>
      </c>
      <c r="D156" s="15" t="inlineStr">
        <is>
          <t>CNS</t>
        </is>
      </c>
      <c r="E156" s="15" t="inlineStr">
        <is>
          <t>Connaissance non disponible</t>
        </is>
      </c>
      <c r="F156" s="15" t="n">
        <v>0.1</v>
      </c>
      <c r="G156" s="15" t="n">
        <v>0.5</v>
      </c>
      <c r="H156" s="16" t="inlineStr">
        <is>
          <t>5e ch14 : 4 h / 1 = 4.0 h</t>
        </is>
      </c>
    </row>
    <row r="157" ht="15" customHeight="1" s="10">
      <c r="A157" s="17" t="inlineStr">
        <is>
          <t>L.EQD</t>
        </is>
      </c>
      <c r="B157" s="17" t="inlineStr">
        <is>
          <t>Equations dans D</t>
        </is>
      </c>
      <c r="C157" s="17" t="n">
        <v>4</v>
      </c>
      <c r="D157" s="17" t="inlineStr">
        <is>
          <t>RED</t>
        </is>
      </c>
      <c r="E157" s="17" t="inlineStr">
        <is>
          <t>Defaut de redaction ou de justification</t>
        </is>
      </c>
      <c r="F157" s="17" t="n">
        <v>0.15</v>
      </c>
      <c r="G157" s="17" t="n">
        <v>0.5</v>
      </c>
      <c r="H157" s="18" t="inlineStr">
        <is>
          <t>5e ch14 : 4 h / 1 = 4.0 h</t>
        </is>
      </c>
    </row>
    <row r="158" ht="15" customHeight="1" s="10">
      <c r="A158" s="15" t="inlineStr">
        <is>
          <t>L.DEV1</t>
        </is>
      </c>
      <c r="B158" s="15" t="inlineStr">
        <is>
          <t>Developpement et reduction</t>
        </is>
      </c>
      <c r="C158" s="15" t="n">
        <v>4.5</v>
      </c>
      <c r="D158" s="15" t="inlineStr">
        <is>
          <t>PRQ</t>
        </is>
      </c>
      <c r="E158" s="15" t="inlineStr">
        <is>
          <t>Prerequis manquant</t>
        </is>
      </c>
      <c r="F158" s="15" t="n">
        <v>0.5</v>
      </c>
      <c r="G158" s="15" t="n">
        <v>2</v>
      </c>
      <c r="H158" s="16" t="inlineStr">
        <is>
          <t>5e ch10 : 9 h / 2 = 4.5 h</t>
        </is>
      </c>
    </row>
    <row r="159" ht="15" customHeight="1" s="10">
      <c r="A159" s="17" t="inlineStr">
        <is>
          <t>L.DEV1</t>
        </is>
      </c>
      <c r="B159" s="17" t="inlineStr">
        <is>
          <t>Developpement et reduction</t>
        </is>
      </c>
      <c r="C159" s="17" t="n">
        <v>4.5</v>
      </c>
      <c r="D159" s="17" t="inlineStr">
        <is>
          <t>CPT</t>
        </is>
      </c>
      <c r="E159" s="17" t="inlineStr">
        <is>
          <t>Erreur conceptuelle</t>
        </is>
      </c>
      <c r="F159" s="17" t="n">
        <v>0.35</v>
      </c>
      <c r="G159" s="17" t="n">
        <v>1.5</v>
      </c>
      <c r="H159" s="18" t="inlineStr">
        <is>
          <t>5e ch10 : 9 h / 2 = 4.5 h</t>
        </is>
      </c>
    </row>
    <row r="160" ht="15" customHeight="1" s="10">
      <c r="A160" s="15" t="inlineStr">
        <is>
          <t>L.DEV1</t>
        </is>
      </c>
      <c r="B160" s="15" t="inlineStr">
        <is>
          <t>Developpement et reduction</t>
        </is>
      </c>
      <c r="C160" s="15" t="n">
        <v>4.5</v>
      </c>
      <c r="D160" s="15" t="inlineStr">
        <is>
          <t>MOD</t>
        </is>
      </c>
      <c r="E160" s="15" t="inlineStr">
        <is>
          <t>Erreur de modelisation</t>
        </is>
      </c>
      <c r="F160" s="15" t="n">
        <v>0.25</v>
      </c>
      <c r="G160" s="15" t="n">
        <v>1</v>
      </c>
      <c r="H160" s="16" t="inlineStr">
        <is>
          <t>5e ch10 : 9 h / 2 = 4.5 h</t>
        </is>
      </c>
    </row>
    <row r="161" ht="15" customHeight="1" s="10">
      <c r="A161" s="17" t="inlineStr">
        <is>
          <t>L.DEV1</t>
        </is>
      </c>
      <c r="B161" s="17" t="inlineStr">
        <is>
          <t>Developpement et reduction</t>
        </is>
      </c>
      <c r="C161" s="17" t="n">
        <v>4.5</v>
      </c>
      <c r="D161" s="17" t="inlineStr">
        <is>
          <t>PRC</t>
        </is>
      </c>
      <c r="E161" s="17" t="inlineStr">
        <is>
          <t>Erreur procedurale</t>
        </is>
      </c>
      <c r="F161" s="17" t="n">
        <v>0.15</v>
      </c>
      <c r="G161" s="17" t="n">
        <v>0.5</v>
      </c>
      <c r="H161" s="18" t="inlineStr">
        <is>
          <t>5e ch10 : 9 h / 2 = 4.5 h</t>
        </is>
      </c>
    </row>
    <row r="162" ht="15" customHeight="1" s="10">
      <c r="A162" s="15" t="inlineStr">
        <is>
          <t>L.DEV1</t>
        </is>
      </c>
      <c r="B162" s="15" t="inlineStr">
        <is>
          <t>Developpement et reduction</t>
        </is>
      </c>
      <c r="C162" s="15" t="n">
        <v>4.5</v>
      </c>
      <c r="D162" s="15" t="inlineStr">
        <is>
          <t>CNS</t>
        </is>
      </c>
      <c r="E162" s="15" t="inlineStr">
        <is>
          <t>Connaissance non disponible</t>
        </is>
      </c>
      <c r="F162" s="15" t="n">
        <v>0.1</v>
      </c>
      <c r="G162" s="15" t="n">
        <v>0.5</v>
      </c>
      <c r="H162" s="16" t="inlineStr">
        <is>
          <t>5e ch10 : 9 h / 2 = 4.5 h</t>
        </is>
      </c>
    </row>
    <row r="163" ht="15" customHeight="1" s="10">
      <c r="A163" s="17" t="inlineStr">
        <is>
          <t>L.DEV1</t>
        </is>
      </c>
      <c r="B163" s="17" t="inlineStr">
        <is>
          <t>Developpement et reduction</t>
        </is>
      </c>
      <c r="C163" s="17" t="n">
        <v>4.5</v>
      </c>
      <c r="D163" s="17" t="inlineStr">
        <is>
          <t>RED</t>
        </is>
      </c>
      <c r="E163" s="17" t="inlineStr">
        <is>
          <t>Defaut de redaction ou de justification</t>
        </is>
      </c>
      <c r="F163" s="17" t="n">
        <v>0.15</v>
      </c>
      <c r="G163" s="17" t="n">
        <v>0.5</v>
      </c>
      <c r="H163" s="18" t="inlineStr">
        <is>
          <t>5e ch10 : 9 h / 2 = 4.5 h</t>
        </is>
      </c>
    </row>
    <row r="164" ht="15" customHeight="1" s="10">
      <c r="A164" s="15" t="inlineStr">
        <is>
          <t>L.FAC1</t>
        </is>
      </c>
      <c r="B164" s="15" t="inlineStr">
        <is>
          <t>Factorisation par facteur commun</t>
        </is>
      </c>
      <c r="C164" s="15" t="n">
        <v>2</v>
      </c>
      <c r="D164" s="15" t="inlineStr">
        <is>
          <t>PRQ</t>
        </is>
      </c>
      <c r="E164" s="15" t="inlineStr">
        <is>
          <t>Prerequis manquant</t>
        </is>
      </c>
      <c r="F164" s="15" t="n">
        <v>0.5</v>
      </c>
      <c r="G164" s="15" t="n">
        <v>1</v>
      </c>
      <c r="H164" s="16" t="inlineStr">
        <is>
          <t>4e ch15 : 4 h / 2 = 2.0 h</t>
        </is>
      </c>
    </row>
    <row r="165" ht="15" customHeight="1" s="10">
      <c r="A165" s="17" t="inlineStr">
        <is>
          <t>L.FAC1</t>
        </is>
      </c>
      <c r="B165" s="17" t="inlineStr">
        <is>
          <t>Factorisation par facteur commun</t>
        </is>
      </c>
      <c r="C165" s="17" t="n">
        <v>2</v>
      </c>
      <c r="D165" s="17" t="inlineStr">
        <is>
          <t>CPT</t>
        </is>
      </c>
      <c r="E165" s="17" t="inlineStr">
        <is>
          <t>Erreur conceptuelle</t>
        </is>
      </c>
      <c r="F165" s="17" t="n">
        <v>0.35</v>
      </c>
      <c r="G165" s="17" t="n">
        <v>0.5</v>
      </c>
      <c r="H165" s="18" t="inlineStr">
        <is>
          <t>4e ch15 : 4 h / 2 = 2.0 h</t>
        </is>
      </c>
    </row>
    <row r="166" ht="15" customHeight="1" s="10">
      <c r="A166" s="15" t="inlineStr">
        <is>
          <t>L.FAC1</t>
        </is>
      </c>
      <c r="B166" s="15" t="inlineStr">
        <is>
          <t>Factorisation par facteur commun</t>
        </is>
      </c>
      <c r="C166" s="15" t="n">
        <v>2</v>
      </c>
      <c r="D166" s="15" t="inlineStr">
        <is>
          <t>MOD</t>
        </is>
      </c>
      <c r="E166" s="15" t="inlineStr">
        <is>
          <t>Erreur de modelisation</t>
        </is>
      </c>
      <c r="F166" s="15" t="n">
        <v>0.25</v>
      </c>
      <c r="G166" s="15" t="n">
        <v>0.5</v>
      </c>
      <c r="H166" s="16" t="inlineStr">
        <is>
          <t>4e ch15 : 4 h / 2 = 2.0 h</t>
        </is>
      </c>
    </row>
    <row r="167" ht="15" customHeight="1" s="10">
      <c r="A167" s="17" t="inlineStr">
        <is>
          <t>L.FAC1</t>
        </is>
      </c>
      <c r="B167" s="17" t="inlineStr">
        <is>
          <t>Factorisation par facteur commun</t>
        </is>
      </c>
      <c r="C167" s="17" t="n">
        <v>2</v>
      </c>
      <c r="D167" s="17" t="inlineStr">
        <is>
          <t>PRC</t>
        </is>
      </c>
      <c r="E167" s="17" t="inlineStr">
        <is>
          <t>Erreur procedurale</t>
        </is>
      </c>
      <c r="F167" s="17" t="n">
        <v>0.15</v>
      </c>
      <c r="G167" s="17" t="n">
        <v>0.5</v>
      </c>
      <c r="H167" s="18" t="inlineStr">
        <is>
          <t>4e ch15 : 4 h / 2 = 2.0 h</t>
        </is>
      </c>
    </row>
    <row r="168" ht="15" customHeight="1" s="10">
      <c r="A168" s="15" t="inlineStr">
        <is>
          <t>L.FAC1</t>
        </is>
      </c>
      <c r="B168" s="15" t="inlineStr">
        <is>
          <t>Factorisation par facteur commun</t>
        </is>
      </c>
      <c r="C168" s="15" t="n">
        <v>2</v>
      </c>
      <c r="D168" s="15" t="inlineStr">
        <is>
          <t>CNS</t>
        </is>
      </c>
      <c r="E168" s="15" t="inlineStr">
        <is>
          <t>Connaissance non disponible</t>
        </is>
      </c>
      <c r="F168" s="15" t="n">
        <v>0.1</v>
      </c>
      <c r="G168" s="15" t="n">
        <v>0.5</v>
      </c>
      <c r="H168" s="16" t="inlineStr">
        <is>
          <t>4e ch15 : 4 h / 2 = 2.0 h</t>
        </is>
      </c>
    </row>
    <row r="169" ht="15" customHeight="1" s="10">
      <c r="A169" s="17" t="inlineStr">
        <is>
          <t>L.FAC1</t>
        </is>
      </c>
      <c r="B169" s="17" t="inlineStr">
        <is>
          <t>Factorisation par facteur commun</t>
        </is>
      </c>
      <c r="C169" s="17" t="n">
        <v>2</v>
      </c>
      <c r="D169" s="17" t="inlineStr">
        <is>
          <t>RED</t>
        </is>
      </c>
      <c r="E169" s="17" t="inlineStr">
        <is>
          <t>Defaut de redaction ou de justification</t>
        </is>
      </c>
      <c r="F169" s="17" t="n">
        <v>0.15</v>
      </c>
      <c r="G169" s="17" t="n">
        <v>0.5</v>
      </c>
      <c r="H169" s="18" t="inlineStr">
        <is>
          <t>4e ch15 : 4 h / 2 = 2.0 h</t>
        </is>
      </c>
    </row>
    <row r="170" ht="15" customHeight="1" s="10">
      <c r="A170" s="15" t="inlineStr">
        <is>
          <t>L.IDR</t>
        </is>
      </c>
      <c r="B170" s="15" t="inlineStr">
        <is>
          <t>Identites remarquables : developpement</t>
        </is>
      </c>
      <c r="C170" s="15" t="n">
        <v>2</v>
      </c>
      <c r="D170" s="15" t="inlineStr">
        <is>
          <t>PRQ</t>
        </is>
      </c>
      <c r="E170" s="15" t="inlineStr">
        <is>
          <t>Prerequis manquant</t>
        </is>
      </c>
      <c r="F170" s="15" t="n">
        <v>0.5</v>
      </c>
      <c r="G170" s="15" t="n">
        <v>1</v>
      </c>
      <c r="H170" s="16" t="inlineStr">
        <is>
          <t>4e ch15 : 4 h / 2 = 2.0 h</t>
        </is>
      </c>
    </row>
    <row r="171" ht="15" customHeight="1" s="10">
      <c r="A171" s="17" t="inlineStr">
        <is>
          <t>L.IDR</t>
        </is>
      </c>
      <c r="B171" s="17" t="inlineStr">
        <is>
          <t>Identites remarquables : developpement</t>
        </is>
      </c>
      <c r="C171" s="17" t="n">
        <v>2</v>
      </c>
      <c r="D171" s="17" t="inlineStr">
        <is>
          <t>CPT</t>
        </is>
      </c>
      <c r="E171" s="17" t="inlineStr">
        <is>
          <t>Erreur conceptuelle</t>
        </is>
      </c>
      <c r="F171" s="17" t="n">
        <v>0.35</v>
      </c>
      <c r="G171" s="17" t="n">
        <v>0.5</v>
      </c>
      <c r="H171" s="18" t="inlineStr">
        <is>
          <t>4e ch15 : 4 h / 2 = 2.0 h</t>
        </is>
      </c>
    </row>
    <row r="172" ht="15" customHeight="1" s="10">
      <c r="A172" s="15" t="inlineStr">
        <is>
          <t>L.IDR</t>
        </is>
      </c>
      <c r="B172" s="15" t="inlineStr">
        <is>
          <t>Identites remarquables : developpement</t>
        </is>
      </c>
      <c r="C172" s="15" t="n">
        <v>2</v>
      </c>
      <c r="D172" s="15" t="inlineStr">
        <is>
          <t>MOD</t>
        </is>
      </c>
      <c r="E172" s="15" t="inlineStr">
        <is>
          <t>Erreur de modelisation</t>
        </is>
      </c>
      <c r="F172" s="15" t="n">
        <v>0.25</v>
      </c>
      <c r="G172" s="15" t="n">
        <v>0.5</v>
      </c>
      <c r="H172" s="16" t="inlineStr">
        <is>
          <t>4e ch15 : 4 h / 2 = 2.0 h</t>
        </is>
      </c>
    </row>
    <row r="173" ht="15" customHeight="1" s="10">
      <c r="A173" s="17" t="inlineStr">
        <is>
          <t>L.IDR</t>
        </is>
      </c>
      <c r="B173" s="17" t="inlineStr">
        <is>
          <t>Identites remarquables : developpement</t>
        </is>
      </c>
      <c r="C173" s="17" t="n">
        <v>2</v>
      </c>
      <c r="D173" s="17" t="inlineStr">
        <is>
          <t>PRC</t>
        </is>
      </c>
      <c r="E173" s="17" t="inlineStr">
        <is>
          <t>Erreur procedurale</t>
        </is>
      </c>
      <c r="F173" s="17" t="n">
        <v>0.15</v>
      </c>
      <c r="G173" s="17" t="n">
        <v>0.5</v>
      </c>
      <c r="H173" s="18" t="inlineStr">
        <is>
          <t>4e ch15 : 4 h / 2 = 2.0 h</t>
        </is>
      </c>
    </row>
    <row r="174" ht="15" customHeight="1" s="10">
      <c r="A174" s="15" t="inlineStr">
        <is>
          <t>L.IDR</t>
        </is>
      </c>
      <c r="B174" s="15" t="inlineStr">
        <is>
          <t>Identites remarquables : developpement</t>
        </is>
      </c>
      <c r="C174" s="15" t="n">
        <v>2</v>
      </c>
      <c r="D174" s="15" t="inlineStr">
        <is>
          <t>CNS</t>
        </is>
      </c>
      <c r="E174" s="15" t="inlineStr">
        <is>
          <t>Connaissance non disponible</t>
        </is>
      </c>
      <c r="F174" s="15" t="n">
        <v>0.1</v>
      </c>
      <c r="G174" s="15" t="n">
        <v>0.5</v>
      </c>
      <c r="H174" s="16" t="inlineStr">
        <is>
          <t>4e ch15 : 4 h / 2 = 2.0 h</t>
        </is>
      </c>
    </row>
    <row r="175" ht="15" customHeight="1" s="10">
      <c r="A175" s="17" t="inlineStr">
        <is>
          <t>L.IDR</t>
        </is>
      </c>
      <c r="B175" s="17" t="inlineStr">
        <is>
          <t>Identites remarquables : developpement</t>
        </is>
      </c>
      <c r="C175" s="17" t="n">
        <v>2</v>
      </c>
      <c r="D175" s="17" t="inlineStr">
        <is>
          <t>RED</t>
        </is>
      </c>
      <c r="E175" s="17" t="inlineStr">
        <is>
          <t>Defaut de redaction ou de justification</t>
        </is>
      </c>
      <c r="F175" s="17" t="n">
        <v>0.15</v>
      </c>
      <c r="G175" s="17" t="n">
        <v>0.5</v>
      </c>
      <c r="H175" s="18" t="inlineStr">
        <is>
          <t>4e ch15 : 4 h / 2 = 2.0 h</t>
        </is>
      </c>
    </row>
    <row r="176" ht="15" customHeight="1" s="10">
      <c r="A176" s="15" t="inlineStr">
        <is>
          <t>L.FAC2</t>
        </is>
      </c>
      <c r="B176" s="15" t="inlineStr">
        <is>
          <t>Factorisation par identite remarquable</t>
        </is>
      </c>
      <c r="C176" s="15" t="n">
        <v>4</v>
      </c>
      <c r="D176" s="15" t="inlineStr">
        <is>
          <t>PRQ</t>
        </is>
      </c>
      <c r="E176" s="15" t="inlineStr">
        <is>
          <t>Prerequis manquant</t>
        </is>
      </c>
      <c r="F176" s="15" t="n">
        <v>0.5</v>
      </c>
      <c r="G176" s="15" t="n">
        <v>2</v>
      </c>
      <c r="H176" s="16" t="inlineStr">
        <is>
          <t>3e ch9 : 4 h / 1 = 4.0 h</t>
        </is>
      </c>
    </row>
    <row r="177" ht="15" customHeight="1" s="10">
      <c r="A177" s="17" t="inlineStr">
        <is>
          <t>L.FAC2</t>
        </is>
      </c>
      <c r="B177" s="17" t="inlineStr">
        <is>
          <t>Factorisation par identite remarquable</t>
        </is>
      </c>
      <c r="C177" s="17" t="n">
        <v>4</v>
      </c>
      <c r="D177" s="17" t="inlineStr">
        <is>
          <t>CPT</t>
        </is>
      </c>
      <c r="E177" s="17" t="inlineStr">
        <is>
          <t>Erreur conceptuelle</t>
        </is>
      </c>
      <c r="F177" s="17" t="n">
        <v>0.35</v>
      </c>
      <c r="G177" s="17" t="n">
        <v>1.5</v>
      </c>
      <c r="H177" s="18" t="inlineStr">
        <is>
          <t>3e ch9 : 4 h / 1 = 4.0 h</t>
        </is>
      </c>
    </row>
    <row r="178" ht="15" customHeight="1" s="10">
      <c r="A178" s="15" t="inlineStr">
        <is>
          <t>L.FAC2</t>
        </is>
      </c>
      <c r="B178" s="15" t="inlineStr">
        <is>
          <t>Factorisation par identite remarquable</t>
        </is>
      </c>
      <c r="C178" s="15" t="n">
        <v>4</v>
      </c>
      <c r="D178" s="15" t="inlineStr">
        <is>
          <t>MOD</t>
        </is>
      </c>
      <c r="E178" s="15" t="inlineStr">
        <is>
          <t>Erreur de modelisation</t>
        </is>
      </c>
      <c r="F178" s="15" t="n">
        <v>0.25</v>
      </c>
      <c r="G178" s="15" t="n">
        <v>1</v>
      </c>
      <c r="H178" s="16" t="inlineStr">
        <is>
          <t>3e ch9 : 4 h / 1 = 4.0 h</t>
        </is>
      </c>
    </row>
    <row r="179" ht="15" customHeight="1" s="10">
      <c r="A179" s="17" t="inlineStr">
        <is>
          <t>L.FAC2</t>
        </is>
      </c>
      <c r="B179" s="17" t="inlineStr">
        <is>
          <t>Factorisation par identite remarquable</t>
        </is>
      </c>
      <c r="C179" s="17" t="n">
        <v>4</v>
      </c>
      <c r="D179" s="17" t="inlineStr">
        <is>
          <t>PRC</t>
        </is>
      </c>
      <c r="E179" s="17" t="inlineStr">
        <is>
          <t>Erreur procedurale</t>
        </is>
      </c>
      <c r="F179" s="17" t="n">
        <v>0.15</v>
      </c>
      <c r="G179" s="17" t="n">
        <v>0.5</v>
      </c>
      <c r="H179" s="18" t="inlineStr">
        <is>
          <t>3e ch9 : 4 h / 1 = 4.0 h</t>
        </is>
      </c>
    </row>
    <row r="180" ht="15" customHeight="1" s="10">
      <c r="A180" s="15" t="inlineStr">
        <is>
          <t>L.FAC2</t>
        </is>
      </c>
      <c r="B180" s="15" t="inlineStr">
        <is>
          <t>Factorisation par identite remarquable</t>
        </is>
      </c>
      <c r="C180" s="15" t="n">
        <v>4</v>
      </c>
      <c r="D180" s="15" t="inlineStr">
        <is>
          <t>CNS</t>
        </is>
      </c>
      <c r="E180" s="15" t="inlineStr">
        <is>
          <t>Connaissance non disponible</t>
        </is>
      </c>
      <c r="F180" s="15" t="n">
        <v>0.1</v>
      </c>
      <c r="G180" s="15" t="n">
        <v>0.5</v>
      </c>
      <c r="H180" s="16" t="inlineStr">
        <is>
          <t>3e ch9 : 4 h / 1 = 4.0 h</t>
        </is>
      </c>
    </row>
    <row r="181" ht="15" customHeight="1" s="10">
      <c r="A181" s="17" t="inlineStr">
        <is>
          <t>L.FAC2</t>
        </is>
      </c>
      <c r="B181" s="17" t="inlineStr">
        <is>
          <t>Factorisation par identite remarquable</t>
        </is>
      </c>
      <c r="C181" s="17" t="n">
        <v>4</v>
      </c>
      <c r="D181" s="17" t="inlineStr">
        <is>
          <t>RED</t>
        </is>
      </c>
      <c r="E181" s="17" t="inlineStr">
        <is>
          <t>Defaut de redaction ou de justification</t>
        </is>
      </c>
      <c r="F181" s="17" t="n">
        <v>0.15</v>
      </c>
      <c r="G181" s="17" t="n">
        <v>0.5</v>
      </c>
      <c r="H181" s="18" t="inlineStr">
        <is>
          <t>3e ch9 : 4 h / 1 = 4.0 h</t>
        </is>
      </c>
    </row>
    <row r="182" ht="15" customHeight="1" s="10">
      <c r="A182" s="15" t="inlineStr">
        <is>
          <t>L.EQ1</t>
        </is>
      </c>
      <c r="B182" s="15" t="inlineStr">
        <is>
          <t>Equations du premier degre dans R</t>
        </is>
      </c>
      <c r="C182" s="15" t="n">
        <v>1.5</v>
      </c>
      <c r="D182" s="15" t="inlineStr">
        <is>
          <t>PRQ</t>
        </is>
      </c>
      <c r="E182" s="15" t="inlineStr">
        <is>
          <t>Prerequis manquant</t>
        </is>
      </c>
      <c r="F182" s="15" t="n">
        <v>0.5</v>
      </c>
      <c r="G182" s="15" t="n">
        <v>1</v>
      </c>
      <c r="H182" s="16" t="inlineStr">
        <is>
          <t>4e ch16 : 5 h / 3 = 1.7 h</t>
        </is>
      </c>
    </row>
    <row r="183" ht="15" customHeight="1" s="10">
      <c r="A183" s="17" t="inlineStr">
        <is>
          <t>L.EQ1</t>
        </is>
      </c>
      <c r="B183" s="17" t="inlineStr">
        <is>
          <t>Equations du premier degre dans R</t>
        </is>
      </c>
      <c r="C183" s="17" t="n">
        <v>1.5</v>
      </c>
      <c r="D183" s="17" t="inlineStr">
        <is>
          <t>CPT</t>
        </is>
      </c>
      <c r="E183" s="17" t="inlineStr">
        <is>
          <t>Erreur conceptuelle</t>
        </is>
      </c>
      <c r="F183" s="17" t="n">
        <v>0.35</v>
      </c>
      <c r="G183" s="17" t="n">
        <v>0.5</v>
      </c>
      <c r="H183" s="18" t="inlineStr">
        <is>
          <t>4e ch16 : 5 h / 3 = 1.7 h</t>
        </is>
      </c>
    </row>
    <row r="184" ht="15" customHeight="1" s="10">
      <c r="A184" s="15" t="inlineStr">
        <is>
          <t>L.EQ1</t>
        </is>
      </c>
      <c r="B184" s="15" t="inlineStr">
        <is>
          <t>Equations du premier degre dans R</t>
        </is>
      </c>
      <c r="C184" s="15" t="n">
        <v>1.5</v>
      </c>
      <c r="D184" s="15" t="inlineStr">
        <is>
          <t>MOD</t>
        </is>
      </c>
      <c r="E184" s="15" t="inlineStr">
        <is>
          <t>Erreur de modelisation</t>
        </is>
      </c>
      <c r="F184" s="15" t="n">
        <v>0.25</v>
      </c>
      <c r="G184" s="15" t="n">
        <v>0.5</v>
      </c>
      <c r="H184" s="16" t="inlineStr">
        <is>
          <t>4e ch16 : 5 h / 3 = 1.7 h</t>
        </is>
      </c>
    </row>
    <row r="185" ht="15" customHeight="1" s="10">
      <c r="A185" s="17" t="inlineStr">
        <is>
          <t>L.EQ1</t>
        </is>
      </c>
      <c r="B185" s="17" t="inlineStr">
        <is>
          <t>Equations du premier degre dans R</t>
        </is>
      </c>
      <c r="C185" s="17" t="n">
        <v>1.5</v>
      </c>
      <c r="D185" s="17" t="inlineStr">
        <is>
          <t>PRC</t>
        </is>
      </c>
      <c r="E185" s="17" t="inlineStr">
        <is>
          <t>Erreur procedurale</t>
        </is>
      </c>
      <c r="F185" s="17" t="n">
        <v>0.15</v>
      </c>
      <c r="G185" s="17" t="n">
        <v>0.5</v>
      </c>
      <c r="H185" s="18" t="inlineStr">
        <is>
          <t>4e ch16 : 5 h / 3 = 1.7 h</t>
        </is>
      </c>
    </row>
    <row r="186" ht="15" customHeight="1" s="10">
      <c r="A186" s="15" t="inlineStr">
        <is>
          <t>L.EQ1</t>
        </is>
      </c>
      <c r="B186" s="15" t="inlineStr">
        <is>
          <t>Equations du premier degre dans R</t>
        </is>
      </c>
      <c r="C186" s="15" t="n">
        <v>1.5</v>
      </c>
      <c r="D186" s="15" t="inlineStr">
        <is>
          <t>CNS</t>
        </is>
      </c>
      <c r="E186" s="15" t="inlineStr">
        <is>
          <t>Connaissance non disponible</t>
        </is>
      </c>
      <c r="F186" s="15" t="n">
        <v>0.1</v>
      </c>
      <c r="G186" s="15" t="n">
        <v>0.5</v>
      </c>
      <c r="H186" s="16" t="inlineStr">
        <is>
          <t>4e ch16 : 5 h / 3 = 1.7 h</t>
        </is>
      </c>
    </row>
    <row r="187" ht="15" customHeight="1" s="10">
      <c r="A187" s="17" t="inlineStr">
        <is>
          <t>L.EQ1</t>
        </is>
      </c>
      <c r="B187" s="17" t="inlineStr">
        <is>
          <t>Equations du premier degre dans R</t>
        </is>
      </c>
      <c r="C187" s="17" t="n">
        <v>1.5</v>
      </c>
      <c r="D187" s="17" t="inlineStr">
        <is>
          <t>RED</t>
        </is>
      </c>
      <c r="E187" s="17" t="inlineStr">
        <is>
          <t>Defaut de redaction ou de justification</t>
        </is>
      </c>
      <c r="F187" s="17" t="n">
        <v>0.15</v>
      </c>
      <c r="G187" s="17" t="n">
        <v>0.5</v>
      </c>
      <c r="H187" s="18" t="inlineStr">
        <is>
          <t>4e ch16 : 5 h / 3 = 1.7 h</t>
        </is>
      </c>
    </row>
    <row r="188" ht="15" customHeight="1" s="10">
      <c r="A188" s="15" t="inlineStr">
        <is>
          <t>L.INEQ1</t>
        </is>
      </c>
      <c r="B188" s="15" t="inlineStr">
        <is>
          <t>Inequations du premier degre</t>
        </is>
      </c>
      <c r="C188" s="15" t="n">
        <v>1.5</v>
      </c>
      <c r="D188" s="15" t="inlineStr">
        <is>
          <t>PRQ</t>
        </is>
      </c>
      <c r="E188" s="15" t="inlineStr">
        <is>
          <t>Prerequis manquant</t>
        </is>
      </c>
      <c r="F188" s="15" t="n">
        <v>0.5</v>
      </c>
      <c r="G188" s="15" t="n">
        <v>1</v>
      </c>
      <c r="H188" s="16" t="inlineStr">
        <is>
          <t>4e ch16 : 5 h / 3 = 1.7 h</t>
        </is>
      </c>
    </row>
    <row r="189" ht="15" customHeight="1" s="10">
      <c r="A189" s="17" t="inlineStr">
        <is>
          <t>L.INEQ1</t>
        </is>
      </c>
      <c r="B189" s="17" t="inlineStr">
        <is>
          <t>Inequations du premier degre</t>
        </is>
      </c>
      <c r="C189" s="17" t="n">
        <v>1.5</v>
      </c>
      <c r="D189" s="17" t="inlineStr">
        <is>
          <t>CPT</t>
        </is>
      </c>
      <c r="E189" s="17" t="inlineStr">
        <is>
          <t>Erreur conceptuelle</t>
        </is>
      </c>
      <c r="F189" s="17" t="n">
        <v>0.35</v>
      </c>
      <c r="G189" s="17" t="n">
        <v>0.5</v>
      </c>
      <c r="H189" s="18" t="inlineStr">
        <is>
          <t>4e ch16 : 5 h / 3 = 1.7 h</t>
        </is>
      </c>
    </row>
    <row r="190" ht="15" customHeight="1" s="10">
      <c r="A190" s="15" t="inlineStr">
        <is>
          <t>L.INEQ1</t>
        </is>
      </c>
      <c r="B190" s="15" t="inlineStr">
        <is>
          <t>Inequations du premier degre</t>
        </is>
      </c>
      <c r="C190" s="15" t="n">
        <v>1.5</v>
      </c>
      <c r="D190" s="15" t="inlineStr">
        <is>
          <t>MOD</t>
        </is>
      </c>
      <c r="E190" s="15" t="inlineStr">
        <is>
          <t>Erreur de modelisation</t>
        </is>
      </c>
      <c r="F190" s="15" t="n">
        <v>0.25</v>
      </c>
      <c r="G190" s="15" t="n">
        <v>0.5</v>
      </c>
      <c r="H190" s="16" t="inlineStr">
        <is>
          <t>4e ch16 : 5 h / 3 = 1.7 h</t>
        </is>
      </c>
    </row>
    <row r="191" ht="15" customHeight="1" s="10">
      <c r="A191" s="17" t="inlineStr">
        <is>
          <t>L.INEQ1</t>
        </is>
      </c>
      <c r="B191" s="17" t="inlineStr">
        <is>
          <t>Inequations du premier degre</t>
        </is>
      </c>
      <c r="C191" s="17" t="n">
        <v>1.5</v>
      </c>
      <c r="D191" s="17" t="inlineStr">
        <is>
          <t>PRC</t>
        </is>
      </c>
      <c r="E191" s="17" t="inlineStr">
        <is>
          <t>Erreur procedurale</t>
        </is>
      </c>
      <c r="F191" s="17" t="n">
        <v>0.15</v>
      </c>
      <c r="G191" s="17" t="n">
        <v>0.5</v>
      </c>
      <c r="H191" s="18" t="inlineStr">
        <is>
          <t>4e ch16 : 5 h / 3 = 1.7 h</t>
        </is>
      </c>
    </row>
    <row r="192" ht="15" customHeight="1" s="10">
      <c r="A192" s="15" t="inlineStr">
        <is>
          <t>L.INEQ1</t>
        </is>
      </c>
      <c r="B192" s="15" t="inlineStr">
        <is>
          <t>Inequations du premier degre</t>
        </is>
      </c>
      <c r="C192" s="15" t="n">
        <v>1.5</v>
      </c>
      <c r="D192" s="15" t="inlineStr">
        <is>
          <t>CNS</t>
        </is>
      </c>
      <c r="E192" s="15" t="inlineStr">
        <is>
          <t>Connaissance non disponible</t>
        </is>
      </c>
      <c r="F192" s="15" t="n">
        <v>0.1</v>
      </c>
      <c r="G192" s="15" t="n">
        <v>0.5</v>
      </c>
      <c r="H192" s="16" t="inlineStr">
        <is>
          <t>4e ch16 : 5 h / 3 = 1.7 h</t>
        </is>
      </c>
    </row>
    <row r="193" ht="15" customHeight="1" s="10">
      <c r="A193" s="17" t="inlineStr">
        <is>
          <t>L.INEQ1</t>
        </is>
      </c>
      <c r="B193" s="17" t="inlineStr">
        <is>
          <t>Inequations du premier degre</t>
        </is>
      </c>
      <c r="C193" s="17" t="n">
        <v>1.5</v>
      </c>
      <c r="D193" s="17" t="inlineStr">
        <is>
          <t>RED</t>
        </is>
      </c>
      <c r="E193" s="17" t="inlineStr">
        <is>
          <t>Defaut de redaction ou de justification</t>
        </is>
      </c>
      <c r="F193" s="17" t="n">
        <v>0.15</v>
      </c>
      <c r="G193" s="17" t="n">
        <v>0.5</v>
      </c>
      <c r="H193" s="18" t="inlineStr">
        <is>
          <t>4e ch16 : 5 h / 3 = 1.7 h</t>
        </is>
      </c>
    </row>
    <row r="194" ht="15" customHeight="1" s="10">
      <c r="A194" s="15" t="inlineStr">
        <is>
          <t>L.EQP</t>
        </is>
      </c>
      <c r="B194" s="15" t="inlineStr">
        <is>
          <t>Equations produit</t>
        </is>
      </c>
      <c r="C194" s="15" t="n">
        <v>4</v>
      </c>
      <c r="D194" s="15" t="inlineStr">
        <is>
          <t>PRQ</t>
        </is>
      </c>
      <c r="E194" s="15" t="inlineStr">
        <is>
          <t>Prerequis manquant</t>
        </is>
      </c>
      <c r="F194" s="15" t="n">
        <v>0.5</v>
      </c>
      <c r="G194" s="15" t="n">
        <v>2</v>
      </c>
      <c r="H194" s="16" t="inlineStr">
        <is>
          <t>3e ch7 : 4 h / 1 = 4.0 h</t>
        </is>
      </c>
    </row>
    <row r="195" ht="15" customHeight="1" s="10">
      <c r="A195" s="17" t="inlineStr">
        <is>
          <t>L.EQP</t>
        </is>
      </c>
      <c r="B195" s="17" t="inlineStr">
        <is>
          <t>Equations produit</t>
        </is>
      </c>
      <c r="C195" s="17" t="n">
        <v>4</v>
      </c>
      <c r="D195" s="17" t="inlineStr">
        <is>
          <t>CPT</t>
        </is>
      </c>
      <c r="E195" s="17" t="inlineStr">
        <is>
          <t>Erreur conceptuelle</t>
        </is>
      </c>
      <c r="F195" s="17" t="n">
        <v>0.35</v>
      </c>
      <c r="G195" s="17" t="n">
        <v>1.5</v>
      </c>
      <c r="H195" s="18" t="inlineStr">
        <is>
          <t>3e ch7 : 4 h / 1 = 4.0 h</t>
        </is>
      </c>
    </row>
    <row r="196" ht="15" customHeight="1" s="10">
      <c r="A196" s="15" t="inlineStr">
        <is>
          <t>L.EQP</t>
        </is>
      </c>
      <c r="B196" s="15" t="inlineStr">
        <is>
          <t>Equations produit</t>
        </is>
      </c>
      <c r="C196" s="15" t="n">
        <v>4</v>
      </c>
      <c r="D196" s="15" t="inlineStr">
        <is>
          <t>MOD</t>
        </is>
      </c>
      <c r="E196" s="15" t="inlineStr">
        <is>
          <t>Erreur de modelisation</t>
        </is>
      </c>
      <c r="F196" s="15" t="n">
        <v>0.25</v>
      </c>
      <c r="G196" s="15" t="n">
        <v>1</v>
      </c>
      <c r="H196" s="16" t="inlineStr">
        <is>
          <t>3e ch7 : 4 h / 1 = 4.0 h</t>
        </is>
      </c>
    </row>
    <row r="197" ht="15" customHeight="1" s="10">
      <c r="A197" s="17" t="inlineStr">
        <is>
          <t>L.EQP</t>
        </is>
      </c>
      <c r="B197" s="17" t="inlineStr">
        <is>
          <t>Equations produit</t>
        </is>
      </c>
      <c r="C197" s="17" t="n">
        <v>4</v>
      </c>
      <c r="D197" s="17" t="inlineStr">
        <is>
          <t>PRC</t>
        </is>
      </c>
      <c r="E197" s="17" t="inlineStr">
        <is>
          <t>Erreur procedurale</t>
        </is>
      </c>
      <c r="F197" s="17" t="n">
        <v>0.15</v>
      </c>
      <c r="G197" s="17" t="n">
        <v>0.5</v>
      </c>
      <c r="H197" s="18" t="inlineStr">
        <is>
          <t>3e ch7 : 4 h / 1 = 4.0 h</t>
        </is>
      </c>
    </row>
    <row r="198" ht="15" customHeight="1" s="10">
      <c r="A198" s="15" t="inlineStr">
        <is>
          <t>L.EQP</t>
        </is>
      </c>
      <c r="B198" s="15" t="inlineStr">
        <is>
          <t>Equations produit</t>
        </is>
      </c>
      <c r="C198" s="15" t="n">
        <v>4</v>
      </c>
      <c r="D198" s="15" t="inlineStr">
        <is>
          <t>CNS</t>
        </is>
      </c>
      <c r="E198" s="15" t="inlineStr">
        <is>
          <t>Connaissance non disponible</t>
        </is>
      </c>
      <c r="F198" s="15" t="n">
        <v>0.1</v>
      </c>
      <c r="G198" s="15" t="n">
        <v>0.5</v>
      </c>
      <c r="H198" s="16" t="inlineStr">
        <is>
          <t>3e ch7 : 4 h / 1 = 4.0 h</t>
        </is>
      </c>
    </row>
    <row r="199" ht="15" customHeight="1" s="10">
      <c r="A199" s="17" t="inlineStr">
        <is>
          <t>L.EQP</t>
        </is>
      </c>
      <c r="B199" s="17" t="inlineStr">
        <is>
          <t>Equations produit</t>
        </is>
      </c>
      <c r="C199" s="17" t="n">
        <v>4</v>
      </c>
      <c r="D199" s="17" t="inlineStr">
        <is>
          <t>RED</t>
        </is>
      </c>
      <c r="E199" s="17" t="inlineStr">
        <is>
          <t>Defaut de redaction ou de justification</t>
        </is>
      </c>
      <c r="F199" s="17" t="n">
        <v>0.15</v>
      </c>
      <c r="G199" s="17" t="n">
        <v>0.5</v>
      </c>
      <c r="H199" s="18" t="inlineStr">
        <is>
          <t>3e ch7 : 4 h / 1 = 4.0 h</t>
        </is>
      </c>
    </row>
    <row r="200" ht="15" customHeight="1" s="10">
      <c r="A200" s="15" t="inlineStr">
        <is>
          <t>L.SYS</t>
        </is>
      </c>
      <c r="B200" s="15" t="inlineStr">
        <is>
          <t>Systemes deux equations deux inconnues</t>
        </is>
      </c>
      <c r="C200" s="15" t="n">
        <v>8</v>
      </c>
      <c r="D200" s="15" t="inlineStr">
        <is>
          <t>PRQ</t>
        </is>
      </c>
      <c r="E200" s="15" t="inlineStr">
        <is>
          <t>Prerequis manquant</t>
        </is>
      </c>
      <c r="F200" s="15" t="n">
        <v>0.5</v>
      </c>
      <c r="G200" s="15" t="n">
        <v>4</v>
      </c>
      <c r="H200" s="16" t="inlineStr">
        <is>
          <t>3e ch15 : 8 h / 1 = 8.0 h</t>
        </is>
      </c>
    </row>
    <row r="201" ht="15" customHeight="1" s="10">
      <c r="A201" s="17" t="inlineStr">
        <is>
          <t>L.SYS</t>
        </is>
      </c>
      <c r="B201" s="17" t="inlineStr">
        <is>
          <t>Systemes deux equations deux inconnues</t>
        </is>
      </c>
      <c r="C201" s="17" t="n">
        <v>8</v>
      </c>
      <c r="D201" s="17" t="inlineStr">
        <is>
          <t>CPT</t>
        </is>
      </c>
      <c r="E201" s="17" t="inlineStr">
        <is>
          <t>Erreur conceptuelle</t>
        </is>
      </c>
      <c r="F201" s="17" t="n">
        <v>0.35</v>
      </c>
      <c r="G201" s="17" t="n">
        <v>3</v>
      </c>
      <c r="H201" s="18" t="inlineStr">
        <is>
          <t>3e ch15 : 8 h / 1 = 8.0 h</t>
        </is>
      </c>
    </row>
    <row r="202" ht="15" customHeight="1" s="10">
      <c r="A202" s="15" t="inlineStr">
        <is>
          <t>L.SYS</t>
        </is>
      </c>
      <c r="B202" s="15" t="inlineStr">
        <is>
          <t>Systemes deux equations deux inconnues</t>
        </is>
      </c>
      <c r="C202" s="15" t="n">
        <v>8</v>
      </c>
      <c r="D202" s="15" t="inlineStr">
        <is>
          <t>MOD</t>
        </is>
      </c>
      <c r="E202" s="15" t="inlineStr">
        <is>
          <t>Erreur de modelisation</t>
        </is>
      </c>
      <c r="F202" s="15" t="n">
        <v>0.25</v>
      </c>
      <c r="G202" s="15" t="n">
        <v>2</v>
      </c>
      <c r="H202" s="16" t="inlineStr">
        <is>
          <t>3e ch15 : 8 h / 1 = 8.0 h</t>
        </is>
      </c>
    </row>
    <row r="203" ht="15" customHeight="1" s="10">
      <c r="A203" s="17" t="inlineStr">
        <is>
          <t>L.SYS</t>
        </is>
      </c>
      <c r="B203" s="17" t="inlineStr">
        <is>
          <t>Systemes deux equations deux inconnues</t>
        </is>
      </c>
      <c r="C203" s="17" t="n">
        <v>8</v>
      </c>
      <c r="D203" s="17" t="inlineStr">
        <is>
          <t>PRC</t>
        </is>
      </c>
      <c r="E203" s="17" t="inlineStr">
        <is>
          <t>Erreur procedurale</t>
        </is>
      </c>
      <c r="F203" s="17" t="n">
        <v>0.15</v>
      </c>
      <c r="G203" s="17" t="n">
        <v>1</v>
      </c>
      <c r="H203" s="18" t="inlineStr">
        <is>
          <t>3e ch15 : 8 h / 1 = 8.0 h</t>
        </is>
      </c>
    </row>
    <row r="204" ht="15" customHeight="1" s="10">
      <c r="A204" s="15" t="inlineStr">
        <is>
          <t>L.SYS</t>
        </is>
      </c>
      <c r="B204" s="15" t="inlineStr">
        <is>
          <t>Systemes deux equations deux inconnues</t>
        </is>
      </c>
      <c r="C204" s="15" t="n">
        <v>8</v>
      </c>
      <c r="D204" s="15" t="inlineStr">
        <is>
          <t>CNS</t>
        </is>
      </c>
      <c r="E204" s="15" t="inlineStr">
        <is>
          <t>Connaissance non disponible</t>
        </is>
      </c>
      <c r="F204" s="15" t="n">
        <v>0.1</v>
      </c>
      <c r="G204" s="15" t="n">
        <v>1</v>
      </c>
      <c r="H204" s="16" t="inlineStr">
        <is>
          <t>3e ch15 : 8 h / 1 = 8.0 h</t>
        </is>
      </c>
    </row>
    <row r="205" ht="15" customHeight="1" s="10">
      <c r="A205" s="17" t="inlineStr">
        <is>
          <t>L.SYS</t>
        </is>
      </c>
      <c r="B205" s="17" t="inlineStr">
        <is>
          <t>Systemes deux equations deux inconnues</t>
        </is>
      </c>
      <c r="C205" s="17" t="n">
        <v>8</v>
      </c>
      <c r="D205" s="17" t="inlineStr">
        <is>
          <t>RED</t>
        </is>
      </c>
      <c r="E205" s="17" t="inlineStr">
        <is>
          <t>Defaut de redaction ou de justification</t>
        </is>
      </c>
      <c r="F205" s="17" t="n">
        <v>0.15</v>
      </c>
      <c r="G205" s="17" t="n">
        <v>1</v>
      </c>
      <c r="H205" s="18" t="inlineStr">
        <is>
          <t>3e ch15 : 8 h / 1 = 8.0 h</t>
        </is>
      </c>
    </row>
    <row r="206" ht="15" customHeight="1" s="10">
      <c r="A206" s="15" t="inlineStr">
        <is>
          <t>L.MISE</t>
        </is>
      </c>
      <c r="B206" s="15" t="inlineStr">
        <is>
          <t>Mise en equation d'un probleme</t>
        </is>
      </c>
      <c r="C206" s="15" t="n">
        <v>1.5</v>
      </c>
      <c r="D206" s="15" t="inlineStr">
        <is>
          <t>PRQ</t>
        </is>
      </c>
      <c r="E206" s="15" t="inlineStr">
        <is>
          <t>Prerequis manquant</t>
        </is>
      </c>
      <c r="F206" s="15" t="n">
        <v>0.5</v>
      </c>
      <c r="G206" s="15" t="n">
        <v>1</v>
      </c>
      <c r="H206" s="16" t="inlineStr">
        <is>
          <t>4e ch16 : 5 h / 3 = 1.7 h</t>
        </is>
      </c>
    </row>
    <row r="207" ht="15" customHeight="1" s="10">
      <c r="A207" s="17" t="inlineStr">
        <is>
          <t>L.MISE</t>
        </is>
      </c>
      <c r="B207" s="17" t="inlineStr">
        <is>
          <t>Mise en equation d'un probleme</t>
        </is>
      </c>
      <c r="C207" s="17" t="n">
        <v>1.5</v>
      </c>
      <c r="D207" s="17" t="inlineStr">
        <is>
          <t>CPT</t>
        </is>
      </c>
      <c r="E207" s="17" t="inlineStr">
        <is>
          <t>Erreur conceptuelle</t>
        </is>
      </c>
      <c r="F207" s="17" t="n">
        <v>0.35</v>
      </c>
      <c r="G207" s="17" t="n">
        <v>0.5</v>
      </c>
      <c r="H207" s="18" t="inlineStr">
        <is>
          <t>4e ch16 : 5 h / 3 = 1.7 h</t>
        </is>
      </c>
    </row>
    <row r="208" ht="15" customHeight="1" s="10">
      <c r="A208" s="15" t="inlineStr">
        <is>
          <t>L.MISE</t>
        </is>
      </c>
      <c r="B208" s="15" t="inlineStr">
        <is>
          <t>Mise en equation d'un probleme</t>
        </is>
      </c>
      <c r="C208" s="15" t="n">
        <v>1.5</v>
      </c>
      <c r="D208" s="15" t="inlineStr">
        <is>
          <t>MOD</t>
        </is>
      </c>
      <c r="E208" s="15" t="inlineStr">
        <is>
          <t>Erreur de modelisation</t>
        </is>
      </c>
      <c r="F208" s="15" t="n">
        <v>0.25</v>
      </c>
      <c r="G208" s="15" t="n">
        <v>0.5</v>
      </c>
      <c r="H208" s="16" t="inlineStr">
        <is>
          <t>4e ch16 : 5 h / 3 = 1.7 h</t>
        </is>
      </c>
    </row>
    <row r="209" ht="15" customHeight="1" s="10">
      <c r="A209" s="17" t="inlineStr">
        <is>
          <t>L.MISE</t>
        </is>
      </c>
      <c r="B209" s="17" t="inlineStr">
        <is>
          <t>Mise en equation d'un probleme</t>
        </is>
      </c>
      <c r="C209" s="17" t="n">
        <v>1.5</v>
      </c>
      <c r="D209" s="17" t="inlineStr">
        <is>
          <t>PRC</t>
        </is>
      </c>
      <c r="E209" s="17" t="inlineStr">
        <is>
          <t>Erreur procedurale</t>
        </is>
      </c>
      <c r="F209" s="17" t="n">
        <v>0.15</v>
      </c>
      <c r="G209" s="17" t="n">
        <v>0.5</v>
      </c>
      <c r="H209" s="18" t="inlineStr">
        <is>
          <t>4e ch16 : 5 h / 3 = 1.7 h</t>
        </is>
      </c>
    </row>
    <row r="210" ht="15" customHeight="1" s="10">
      <c r="A210" s="15" t="inlineStr">
        <is>
          <t>L.MISE</t>
        </is>
      </c>
      <c r="B210" s="15" t="inlineStr">
        <is>
          <t>Mise en equation d'un probleme</t>
        </is>
      </c>
      <c r="C210" s="15" t="n">
        <v>1.5</v>
      </c>
      <c r="D210" s="15" t="inlineStr">
        <is>
          <t>CNS</t>
        </is>
      </c>
      <c r="E210" s="15" t="inlineStr">
        <is>
          <t>Connaissance non disponible</t>
        </is>
      </c>
      <c r="F210" s="15" t="n">
        <v>0.1</v>
      </c>
      <c r="G210" s="15" t="n">
        <v>0.5</v>
      </c>
      <c r="H210" s="16" t="inlineStr">
        <is>
          <t>4e ch16 : 5 h / 3 = 1.7 h</t>
        </is>
      </c>
    </row>
    <row r="211" ht="15" customHeight="1" s="10">
      <c r="A211" s="17" t="inlineStr">
        <is>
          <t>L.MISE</t>
        </is>
      </c>
      <c r="B211" s="17" t="inlineStr">
        <is>
          <t>Mise en equation d'un probleme</t>
        </is>
      </c>
      <c r="C211" s="17" t="n">
        <v>1.5</v>
      </c>
      <c r="D211" s="17" t="inlineStr">
        <is>
          <t>RED</t>
        </is>
      </c>
      <c r="E211" s="17" t="inlineStr">
        <is>
          <t>Defaut de redaction ou de justification</t>
        </is>
      </c>
      <c r="F211" s="17" t="n">
        <v>0.15</v>
      </c>
      <c r="G211" s="17" t="n">
        <v>0.5</v>
      </c>
      <c r="H211" s="18" t="inlineStr">
        <is>
          <t>4e ch16 : 5 h / 3 = 1.7 h</t>
        </is>
      </c>
    </row>
    <row r="212" ht="15" customHeight="1" s="10">
      <c r="A212" s="15" t="inlineStr">
        <is>
          <t>G.VOC</t>
        </is>
      </c>
      <c r="B212" s="15" t="inlineStr">
        <is>
          <t>Vocabulaire et traces de base</t>
        </is>
      </c>
      <c r="C212" s="15" t="n">
        <v>2</v>
      </c>
      <c r="D212" s="15" t="inlineStr">
        <is>
          <t>PRQ</t>
        </is>
      </c>
      <c r="E212" s="15" t="inlineStr">
        <is>
          <t>Prerequis manquant</t>
        </is>
      </c>
      <c r="F212" s="15" t="n">
        <v>0.5</v>
      </c>
      <c r="G212" s="15" t="n">
        <v>1</v>
      </c>
      <c r="H212" s="16" t="inlineStr">
        <is>
          <t>6e ch1 : 4 h / 2 = 2.0 h</t>
        </is>
      </c>
    </row>
    <row r="213" ht="15" customHeight="1" s="10">
      <c r="A213" s="17" t="inlineStr">
        <is>
          <t>G.VOC</t>
        </is>
      </c>
      <c r="B213" s="17" t="inlineStr">
        <is>
          <t>Vocabulaire et traces de base</t>
        </is>
      </c>
      <c r="C213" s="17" t="n">
        <v>2</v>
      </c>
      <c r="D213" s="17" t="inlineStr">
        <is>
          <t>CPT</t>
        </is>
      </c>
      <c r="E213" s="17" t="inlineStr">
        <is>
          <t>Erreur conceptuelle</t>
        </is>
      </c>
      <c r="F213" s="17" t="n">
        <v>0.35</v>
      </c>
      <c r="G213" s="17" t="n">
        <v>0.5</v>
      </c>
      <c r="H213" s="18" t="inlineStr">
        <is>
          <t>6e ch1 : 4 h / 2 = 2.0 h</t>
        </is>
      </c>
    </row>
    <row r="214" ht="15" customHeight="1" s="10">
      <c r="A214" s="15" t="inlineStr">
        <is>
          <t>G.VOC</t>
        </is>
      </c>
      <c r="B214" s="15" t="inlineStr">
        <is>
          <t>Vocabulaire et traces de base</t>
        </is>
      </c>
      <c r="C214" s="15" t="n">
        <v>2</v>
      </c>
      <c r="D214" s="15" t="inlineStr">
        <is>
          <t>MOD</t>
        </is>
      </c>
      <c r="E214" s="15" t="inlineStr">
        <is>
          <t>Erreur de modelisation</t>
        </is>
      </c>
      <c r="F214" s="15" t="n">
        <v>0.25</v>
      </c>
      <c r="G214" s="15" t="n">
        <v>0.5</v>
      </c>
      <c r="H214" s="16" t="inlineStr">
        <is>
          <t>6e ch1 : 4 h / 2 = 2.0 h</t>
        </is>
      </c>
    </row>
    <row r="215" ht="15" customHeight="1" s="10">
      <c r="A215" s="17" t="inlineStr">
        <is>
          <t>G.VOC</t>
        </is>
      </c>
      <c r="B215" s="17" t="inlineStr">
        <is>
          <t>Vocabulaire et traces de base</t>
        </is>
      </c>
      <c r="C215" s="17" t="n">
        <v>2</v>
      </c>
      <c r="D215" s="17" t="inlineStr">
        <is>
          <t>PRC</t>
        </is>
      </c>
      <c r="E215" s="17" t="inlineStr">
        <is>
          <t>Erreur procedurale</t>
        </is>
      </c>
      <c r="F215" s="17" t="n">
        <v>0.15</v>
      </c>
      <c r="G215" s="17" t="n">
        <v>0.5</v>
      </c>
      <c r="H215" s="18" t="inlineStr">
        <is>
          <t>6e ch1 : 4 h / 2 = 2.0 h</t>
        </is>
      </c>
    </row>
    <row r="216" ht="15" customHeight="1" s="10">
      <c r="A216" s="15" t="inlineStr">
        <is>
          <t>G.VOC</t>
        </is>
      </c>
      <c r="B216" s="15" t="inlineStr">
        <is>
          <t>Vocabulaire et traces de base</t>
        </is>
      </c>
      <c r="C216" s="15" t="n">
        <v>2</v>
      </c>
      <c r="D216" s="15" t="inlineStr">
        <is>
          <t>CNS</t>
        </is>
      </c>
      <c r="E216" s="15" t="inlineStr">
        <is>
          <t>Connaissance non disponible</t>
        </is>
      </c>
      <c r="F216" s="15" t="n">
        <v>0.1</v>
      </c>
      <c r="G216" s="15" t="n">
        <v>0.5</v>
      </c>
      <c r="H216" s="16" t="inlineStr">
        <is>
          <t>6e ch1 : 4 h / 2 = 2.0 h</t>
        </is>
      </c>
    </row>
    <row r="217" ht="15" customHeight="1" s="10">
      <c r="A217" s="17" t="inlineStr">
        <is>
          <t>G.VOC</t>
        </is>
      </c>
      <c r="B217" s="17" t="inlineStr">
        <is>
          <t>Vocabulaire et traces de base</t>
        </is>
      </c>
      <c r="C217" s="17" t="n">
        <v>2</v>
      </c>
      <c r="D217" s="17" t="inlineStr">
        <is>
          <t>RED</t>
        </is>
      </c>
      <c r="E217" s="17" t="inlineStr">
        <is>
          <t>Defaut de redaction ou de justification</t>
        </is>
      </c>
      <c r="F217" s="17" t="n">
        <v>0.15</v>
      </c>
      <c r="G217" s="17" t="n">
        <v>0.5</v>
      </c>
      <c r="H217" s="18" t="inlineStr">
        <is>
          <t>6e ch1 : 4 h / 2 = 2.0 h</t>
        </is>
      </c>
    </row>
    <row r="218" ht="15" customHeight="1" s="10">
      <c r="A218" s="15" t="inlineStr">
        <is>
          <t>G.PARA</t>
        </is>
      </c>
      <c r="B218" s="15" t="inlineStr">
        <is>
          <t>Parallelisme et perpendicularite</t>
        </is>
      </c>
      <c r="C218" s="15" t="n">
        <v>2</v>
      </c>
      <c r="D218" s="15" t="inlineStr">
        <is>
          <t>PRQ</t>
        </is>
      </c>
      <c r="E218" s="15" t="inlineStr">
        <is>
          <t>Prerequis manquant</t>
        </is>
      </c>
      <c r="F218" s="15" t="n">
        <v>0.5</v>
      </c>
      <c r="G218" s="15" t="n">
        <v>1</v>
      </c>
      <c r="H218" s="16" t="inlineStr">
        <is>
          <t>6e ch1 : 4 h / 2 = 2.0 h</t>
        </is>
      </c>
    </row>
    <row r="219" ht="15" customHeight="1" s="10">
      <c r="A219" s="17" t="inlineStr">
        <is>
          <t>G.PARA</t>
        </is>
      </c>
      <c r="B219" s="17" t="inlineStr">
        <is>
          <t>Parallelisme et perpendicularite</t>
        </is>
      </c>
      <c r="C219" s="17" t="n">
        <v>2</v>
      </c>
      <c r="D219" s="17" t="inlineStr">
        <is>
          <t>CPT</t>
        </is>
      </c>
      <c r="E219" s="17" t="inlineStr">
        <is>
          <t>Erreur conceptuelle</t>
        </is>
      </c>
      <c r="F219" s="17" t="n">
        <v>0.35</v>
      </c>
      <c r="G219" s="17" t="n">
        <v>0.5</v>
      </c>
      <c r="H219" s="18" t="inlineStr">
        <is>
          <t>6e ch1 : 4 h / 2 = 2.0 h</t>
        </is>
      </c>
    </row>
    <row r="220" ht="15" customHeight="1" s="10">
      <c r="A220" s="15" t="inlineStr">
        <is>
          <t>G.PARA</t>
        </is>
      </c>
      <c r="B220" s="15" t="inlineStr">
        <is>
          <t>Parallelisme et perpendicularite</t>
        </is>
      </c>
      <c r="C220" s="15" t="n">
        <v>2</v>
      </c>
      <c r="D220" s="15" t="inlineStr">
        <is>
          <t>MOD</t>
        </is>
      </c>
      <c r="E220" s="15" t="inlineStr">
        <is>
          <t>Erreur de modelisation</t>
        </is>
      </c>
      <c r="F220" s="15" t="n">
        <v>0.25</v>
      </c>
      <c r="G220" s="15" t="n">
        <v>0.5</v>
      </c>
      <c r="H220" s="16" t="inlineStr">
        <is>
          <t>6e ch1 : 4 h / 2 = 2.0 h</t>
        </is>
      </c>
    </row>
    <row r="221" ht="15" customHeight="1" s="10">
      <c r="A221" s="17" t="inlineStr">
        <is>
          <t>G.PARA</t>
        </is>
      </c>
      <c r="B221" s="17" t="inlineStr">
        <is>
          <t>Parallelisme et perpendicularite</t>
        </is>
      </c>
      <c r="C221" s="17" t="n">
        <v>2</v>
      </c>
      <c r="D221" s="17" t="inlineStr">
        <is>
          <t>PRC</t>
        </is>
      </c>
      <c r="E221" s="17" t="inlineStr">
        <is>
          <t>Erreur procedurale</t>
        </is>
      </c>
      <c r="F221" s="17" t="n">
        <v>0.15</v>
      </c>
      <c r="G221" s="17" t="n">
        <v>0.5</v>
      </c>
      <c r="H221" s="18" t="inlineStr">
        <is>
          <t>6e ch1 : 4 h / 2 = 2.0 h</t>
        </is>
      </c>
    </row>
    <row r="222" ht="15" customHeight="1" s="10">
      <c r="A222" s="15" t="inlineStr">
        <is>
          <t>G.PARA</t>
        </is>
      </c>
      <c r="B222" s="15" t="inlineStr">
        <is>
          <t>Parallelisme et perpendicularite</t>
        </is>
      </c>
      <c r="C222" s="15" t="n">
        <v>2</v>
      </c>
      <c r="D222" s="15" t="inlineStr">
        <is>
          <t>CNS</t>
        </is>
      </c>
      <c r="E222" s="15" t="inlineStr">
        <is>
          <t>Connaissance non disponible</t>
        </is>
      </c>
      <c r="F222" s="15" t="n">
        <v>0.1</v>
      </c>
      <c r="G222" s="15" t="n">
        <v>0.5</v>
      </c>
      <c r="H222" s="16" t="inlineStr">
        <is>
          <t>6e ch1 : 4 h / 2 = 2.0 h</t>
        </is>
      </c>
    </row>
    <row r="223" ht="15" customHeight="1" s="10">
      <c r="A223" s="17" t="inlineStr">
        <is>
          <t>G.PARA</t>
        </is>
      </c>
      <c r="B223" s="17" t="inlineStr">
        <is>
          <t>Parallelisme et perpendicularite</t>
        </is>
      </c>
      <c r="C223" s="17" t="n">
        <v>2</v>
      </c>
      <c r="D223" s="17" t="inlineStr">
        <is>
          <t>RED</t>
        </is>
      </c>
      <c r="E223" s="17" t="inlineStr">
        <is>
          <t>Defaut de redaction ou de justification</t>
        </is>
      </c>
      <c r="F223" s="17" t="n">
        <v>0.15</v>
      </c>
      <c r="G223" s="17" t="n">
        <v>0.5</v>
      </c>
      <c r="H223" s="18" t="inlineStr">
        <is>
          <t>6e ch1 : 4 h / 2 = 2.0 h</t>
        </is>
      </c>
    </row>
    <row r="224" ht="15" customHeight="1" s="10">
      <c r="A224" s="15" t="inlineStr">
        <is>
          <t>G.FIG</t>
        </is>
      </c>
      <c r="B224" s="15" t="inlineStr">
        <is>
          <t>Figures usuelles</t>
        </is>
      </c>
      <c r="C224" s="15" t="n">
        <v>4</v>
      </c>
      <c r="D224" s="15" t="inlineStr">
        <is>
          <t>PRQ</t>
        </is>
      </c>
      <c r="E224" s="15" t="inlineStr">
        <is>
          <t>Prerequis manquant</t>
        </is>
      </c>
      <c r="F224" s="15" t="n">
        <v>0.5</v>
      </c>
      <c r="G224" s="15" t="n">
        <v>2</v>
      </c>
      <c r="H224" s="16" t="inlineStr">
        <is>
          <t>estimation</t>
        </is>
      </c>
    </row>
    <row r="225" ht="15" customHeight="1" s="10">
      <c r="A225" s="17" t="inlineStr">
        <is>
          <t>G.FIG</t>
        </is>
      </c>
      <c r="B225" s="17" t="inlineStr">
        <is>
          <t>Figures usuelles</t>
        </is>
      </c>
      <c r="C225" s="17" t="n">
        <v>4</v>
      </c>
      <c r="D225" s="17" t="inlineStr">
        <is>
          <t>CPT</t>
        </is>
      </c>
      <c r="E225" s="17" t="inlineStr">
        <is>
          <t>Erreur conceptuelle</t>
        </is>
      </c>
      <c r="F225" s="17" t="n">
        <v>0.35</v>
      </c>
      <c r="G225" s="17" t="n">
        <v>1.5</v>
      </c>
      <c r="H225" s="18" t="inlineStr">
        <is>
          <t>estimation</t>
        </is>
      </c>
    </row>
    <row r="226" ht="15" customHeight="1" s="10">
      <c r="A226" s="15" t="inlineStr">
        <is>
          <t>G.FIG</t>
        </is>
      </c>
      <c r="B226" s="15" t="inlineStr">
        <is>
          <t>Figures usuelles</t>
        </is>
      </c>
      <c r="C226" s="15" t="n">
        <v>4</v>
      </c>
      <c r="D226" s="15" t="inlineStr">
        <is>
          <t>MOD</t>
        </is>
      </c>
      <c r="E226" s="15" t="inlineStr">
        <is>
          <t>Erreur de modelisation</t>
        </is>
      </c>
      <c r="F226" s="15" t="n">
        <v>0.25</v>
      </c>
      <c r="G226" s="15" t="n">
        <v>1</v>
      </c>
      <c r="H226" s="16" t="inlineStr">
        <is>
          <t>estimation</t>
        </is>
      </c>
    </row>
    <row r="227" ht="15" customHeight="1" s="10">
      <c r="A227" s="17" t="inlineStr">
        <is>
          <t>G.FIG</t>
        </is>
      </c>
      <c r="B227" s="17" t="inlineStr">
        <is>
          <t>Figures usuelles</t>
        </is>
      </c>
      <c r="C227" s="17" t="n">
        <v>4</v>
      </c>
      <c r="D227" s="17" t="inlineStr">
        <is>
          <t>PRC</t>
        </is>
      </c>
      <c r="E227" s="17" t="inlineStr">
        <is>
          <t>Erreur procedurale</t>
        </is>
      </c>
      <c r="F227" s="17" t="n">
        <v>0.15</v>
      </c>
      <c r="G227" s="17" t="n">
        <v>0.5</v>
      </c>
      <c r="H227" s="18" t="inlineStr">
        <is>
          <t>estimation</t>
        </is>
      </c>
    </row>
    <row r="228" ht="15" customHeight="1" s="10">
      <c r="A228" s="15" t="inlineStr">
        <is>
          <t>G.FIG</t>
        </is>
      </c>
      <c r="B228" s="15" t="inlineStr">
        <is>
          <t>Figures usuelles</t>
        </is>
      </c>
      <c r="C228" s="15" t="n">
        <v>4</v>
      </c>
      <c r="D228" s="15" t="inlineStr">
        <is>
          <t>CNS</t>
        </is>
      </c>
      <c r="E228" s="15" t="inlineStr">
        <is>
          <t>Connaissance non disponible</t>
        </is>
      </c>
      <c r="F228" s="15" t="n">
        <v>0.1</v>
      </c>
      <c r="G228" s="15" t="n">
        <v>0.5</v>
      </c>
      <c r="H228" s="16" t="inlineStr">
        <is>
          <t>estimation</t>
        </is>
      </c>
    </row>
    <row r="229" ht="15" customHeight="1" s="10">
      <c r="A229" s="17" t="inlineStr">
        <is>
          <t>G.FIG</t>
        </is>
      </c>
      <c r="B229" s="17" t="inlineStr">
        <is>
          <t>Figures usuelles</t>
        </is>
      </c>
      <c r="C229" s="17" t="n">
        <v>4</v>
      </c>
      <c r="D229" s="17" t="inlineStr">
        <is>
          <t>RED</t>
        </is>
      </c>
      <c r="E229" s="17" t="inlineStr">
        <is>
          <t>Defaut de redaction ou de justification</t>
        </is>
      </c>
      <c r="F229" s="17" t="n">
        <v>0.15</v>
      </c>
      <c r="G229" s="17" t="n">
        <v>0.5</v>
      </c>
      <c r="H229" s="18" t="inlineStr">
        <is>
          <t>estimation</t>
        </is>
      </c>
    </row>
    <row r="230" ht="15" customHeight="1" s="10">
      <c r="A230" s="15" t="inlineStr">
        <is>
          <t>G.ANG1</t>
        </is>
      </c>
      <c r="B230" s="15" t="inlineStr">
        <is>
          <t>Angles : nature et mesure</t>
        </is>
      </c>
      <c r="C230" s="15" t="n">
        <v>2.5</v>
      </c>
      <c r="D230" s="15" t="inlineStr">
        <is>
          <t>PRQ</t>
        </is>
      </c>
      <c r="E230" s="15" t="inlineStr">
        <is>
          <t>Prerequis manquant</t>
        </is>
      </c>
      <c r="F230" s="15" t="n">
        <v>0.5</v>
      </c>
      <c r="G230" s="15" t="n">
        <v>1</v>
      </c>
      <c r="H230" s="16" t="inlineStr">
        <is>
          <t>6e ch3 : 5 h / 2 = 2.5 h</t>
        </is>
      </c>
    </row>
    <row r="231" ht="15" customHeight="1" s="10">
      <c r="A231" s="17" t="inlineStr">
        <is>
          <t>G.ANG1</t>
        </is>
      </c>
      <c r="B231" s="17" t="inlineStr">
        <is>
          <t>Angles : nature et mesure</t>
        </is>
      </c>
      <c r="C231" s="17" t="n">
        <v>2.5</v>
      </c>
      <c r="D231" s="17" t="inlineStr">
        <is>
          <t>CPT</t>
        </is>
      </c>
      <c r="E231" s="17" t="inlineStr">
        <is>
          <t>Erreur conceptuelle</t>
        </is>
      </c>
      <c r="F231" s="17" t="n">
        <v>0.35</v>
      </c>
      <c r="G231" s="17" t="n">
        <v>1</v>
      </c>
      <c r="H231" s="18" t="inlineStr">
        <is>
          <t>6e ch3 : 5 h / 2 = 2.5 h</t>
        </is>
      </c>
    </row>
    <row r="232" ht="15" customHeight="1" s="10">
      <c r="A232" s="15" t="inlineStr">
        <is>
          <t>G.ANG1</t>
        </is>
      </c>
      <c r="B232" s="15" t="inlineStr">
        <is>
          <t>Angles : nature et mesure</t>
        </is>
      </c>
      <c r="C232" s="15" t="n">
        <v>2.5</v>
      </c>
      <c r="D232" s="15" t="inlineStr">
        <is>
          <t>MOD</t>
        </is>
      </c>
      <c r="E232" s="15" t="inlineStr">
        <is>
          <t>Erreur de modelisation</t>
        </is>
      </c>
      <c r="F232" s="15" t="n">
        <v>0.25</v>
      </c>
      <c r="G232" s="15" t="n">
        <v>0.5</v>
      </c>
      <c r="H232" s="16" t="inlineStr">
        <is>
          <t>6e ch3 : 5 h / 2 = 2.5 h</t>
        </is>
      </c>
    </row>
    <row r="233" ht="15" customHeight="1" s="10">
      <c r="A233" s="17" t="inlineStr">
        <is>
          <t>G.ANG1</t>
        </is>
      </c>
      <c r="B233" s="17" t="inlineStr">
        <is>
          <t>Angles : nature et mesure</t>
        </is>
      </c>
      <c r="C233" s="17" t="n">
        <v>2.5</v>
      </c>
      <c r="D233" s="17" t="inlineStr">
        <is>
          <t>PRC</t>
        </is>
      </c>
      <c r="E233" s="17" t="inlineStr">
        <is>
          <t>Erreur procedurale</t>
        </is>
      </c>
      <c r="F233" s="17" t="n">
        <v>0.15</v>
      </c>
      <c r="G233" s="17" t="n">
        <v>0.5</v>
      </c>
      <c r="H233" s="18" t="inlineStr">
        <is>
          <t>6e ch3 : 5 h / 2 = 2.5 h</t>
        </is>
      </c>
    </row>
    <row r="234" ht="15" customHeight="1" s="10">
      <c r="A234" s="15" t="inlineStr">
        <is>
          <t>G.ANG1</t>
        </is>
      </c>
      <c r="B234" s="15" t="inlineStr">
        <is>
          <t>Angles : nature et mesure</t>
        </is>
      </c>
      <c r="C234" s="15" t="n">
        <v>2.5</v>
      </c>
      <c r="D234" s="15" t="inlineStr">
        <is>
          <t>CNS</t>
        </is>
      </c>
      <c r="E234" s="15" t="inlineStr">
        <is>
          <t>Connaissance non disponible</t>
        </is>
      </c>
      <c r="F234" s="15" t="n">
        <v>0.1</v>
      </c>
      <c r="G234" s="15" t="n">
        <v>0.5</v>
      </c>
      <c r="H234" s="16" t="inlineStr">
        <is>
          <t>6e ch3 : 5 h / 2 = 2.5 h</t>
        </is>
      </c>
    </row>
    <row r="235" ht="15" customHeight="1" s="10">
      <c r="A235" s="17" t="inlineStr">
        <is>
          <t>G.ANG1</t>
        </is>
      </c>
      <c r="B235" s="17" t="inlineStr">
        <is>
          <t>Angles : nature et mesure</t>
        </is>
      </c>
      <c r="C235" s="17" t="n">
        <v>2.5</v>
      </c>
      <c r="D235" s="17" t="inlineStr">
        <is>
          <t>RED</t>
        </is>
      </c>
      <c r="E235" s="17" t="inlineStr">
        <is>
          <t>Defaut de redaction ou de justification</t>
        </is>
      </c>
      <c r="F235" s="17" t="n">
        <v>0.15</v>
      </c>
      <c r="G235" s="17" t="n">
        <v>0.5</v>
      </c>
      <c r="H235" s="18" t="inlineStr">
        <is>
          <t>6e ch3 : 5 h / 2 = 2.5 h</t>
        </is>
      </c>
    </row>
    <row r="236" ht="15" customHeight="1" s="10">
      <c r="A236" s="15" t="inlineStr">
        <is>
          <t>G.ANG2</t>
        </is>
      </c>
      <c r="B236" s="15" t="inlineStr">
        <is>
          <t>Angles complementaires et bissectrice</t>
        </is>
      </c>
      <c r="C236" s="15" t="n">
        <v>2.5</v>
      </c>
      <c r="D236" s="15" t="inlineStr">
        <is>
          <t>PRQ</t>
        </is>
      </c>
      <c r="E236" s="15" t="inlineStr">
        <is>
          <t>Prerequis manquant</t>
        </is>
      </c>
      <c r="F236" s="15" t="n">
        <v>0.5</v>
      </c>
      <c r="G236" s="15" t="n">
        <v>1</v>
      </c>
      <c r="H236" s="16" t="inlineStr">
        <is>
          <t>6e ch3 : 5 h / 2 = 2.5 h</t>
        </is>
      </c>
    </row>
    <row r="237" ht="15" customHeight="1" s="10">
      <c r="A237" s="17" t="inlineStr">
        <is>
          <t>G.ANG2</t>
        </is>
      </c>
      <c r="B237" s="17" t="inlineStr">
        <is>
          <t>Angles complementaires et bissectrice</t>
        </is>
      </c>
      <c r="C237" s="17" t="n">
        <v>2.5</v>
      </c>
      <c r="D237" s="17" t="inlineStr">
        <is>
          <t>CPT</t>
        </is>
      </c>
      <c r="E237" s="17" t="inlineStr">
        <is>
          <t>Erreur conceptuelle</t>
        </is>
      </c>
      <c r="F237" s="17" t="n">
        <v>0.35</v>
      </c>
      <c r="G237" s="17" t="n">
        <v>1</v>
      </c>
      <c r="H237" s="18" t="inlineStr">
        <is>
          <t>6e ch3 : 5 h / 2 = 2.5 h</t>
        </is>
      </c>
    </row>
    <row r="238" ht="15" customHeight="1" s="10">
      <c r="A238" s="15" t="inlineStr">
        <is>
          <t>G.ANG2</t>
        </is>
      </c>
      <c r="B238" s="15" t="inlineStr">
        <is>
          <t>Angles complementaires et bissectrice</t>
        </is>
      </c>
      <c r="C238" s="15" t="n">
        <v>2.5</v>
      </c>
      <c r="D238" s="15" t="inlineStr">
        <is>
          <t>MOD</t>
        </is>
      </c>
      <c r="E238" s="15" t="inlineStr">
        <is>
          <t>Erreur de modelisation</t>
        </is>
      </c>
      <c r="F238" s="15" t="n">
        <v>0.25</v>
      </c>
      <c r="G238" s="15" t="n">
        <v>0.5</v>
      </c>
      <c r="H238" s="16" t="inlineStr">
        <is>
          <t>6e ch3 : 5 h / 2 = 2.5 h</t>
        </is>
      </c>
    </row>
    <row r="239" ht="15" customHeight="1" s="10">
      <c r="A239" s="17" t="inlineStr">
        <is>
          <t>G.ANG2</t>
        </is>
      </c>
      <c r="B239" s="17" t="inlineStr">
        <is>
          <t>Angles complementaires et bissectrice</t>
        </is>
      </c>
      <c r="C239" s="17" t="n">
        <v>2.5</v>
      </c>
      <c r="D239" s="17" t="inlineStr">
        <is>
          <t>PRC</t>
        </is>
      </c>
      <c r="E239" s="17" t="inlineStr">
        <is>
          <t>Erreur procedurale</t>
        </is>
      </c>
      <c r="F239" s="17" t="n">
        <v>0.15</v>
      </c>
      <c r="G239" s="17" t="n">
        <v>0.5</v>
      </c>
      <c r="H239" s="18" t="inlineStr">
        <is>
          <t>6e ch3 : 5 h / 2 = 2.5 h</t>
        </is>
      </c>
    </row>
    <row r="240" ht="15" customHeight="1" s="10">
      <c r="A240" s="15" t="inlineStr">
        <is>
          <t>G.ANG2</t>
        </is>
      </c>
      <c r="B240" s="15" t="inlineStr">
        <is>
          <t>Angles complementaires et bissectrice</t>
        </is>
      </c>
      <c r="C240" s="15" t="n">
        <v>2.5</v>
      </c>
      <c r="D240" s="15" t="inlineStr">
        <is>
          <t>CNS</t>
        </is>
      </c>
      <c r="E240" s="15" t="inlineStr">
        <is>
          <t>Connaissance non disponible</t>
        </is>
      </c>
      <c r="F240" s="15" t="n">
        <v>0.1</v>
      </c>
      <c r="G240" s="15" t="n">
        <v>0.5</v>
      </c>
      <c r="H240" s="16" t="inlineStr">
        <is>
          <t>6e ch3 : 5 h / 2 = 2.5 h</t>
        </is>
      </c>
    </row>
    <row r="241" ht="15" customHeight="1" s="10">
      <c r="A241" s="17" t="inlineStr">
        <is>
          <t>G.ANG2</t>
        </is>
      </c>
      <c r="B241" s="17" t="inlineStr">
        <is>
          <t>Angles complementaires et bissectrice</t>
        </is>
      </c>
      <c r="C241" s="17" t="n">
        <v>2.5</v>
      </c>
      <c r="D241" s="17" t="inlineStr">
        <is>
          <t>RED</t>
        </is>
      </c>
      <c r="E241" s="17" t="inlineStr">
        <is>
          <t>Defaut de redaction ou de justification</t>
        </is>
      </c>
      <c r="F241" s="17" t="n">
        <v>0.15</v>
      </c>
      <c r="G241" s="17" t="n">
        <v>0.5</v>
      </c>
      <c r="H241" s="18" t="inlineStr">
        <is>
          <t>6e ch3 : 5 h / 2 = 2.5 h</t>
        </is>
      </c>
    </row>
    <row r="242" ht="15" customHeight="1" s="10">
      <c r="A242" s="15" t="inlineStr">
        <is>
          <t>G.TRI</t>
        </is>
      </c>
      <c r="B242" s="15" t="inlineStr">
        <is>
          <t>Triangles : construction et nature</t>
        </is>
      </c>
      <c r="C242" s="15" t="n">
        <v>7</v>
      </c>
      <c r="D242" s="15" t="inlineStr">
        <is>
          <t>PRQ</t>
        </is>
      </c>
      <c r="E242" s="15" t="inlineStr">
        <is>
          <t>Prerequis manquant</t>
        </is>
      </c>
      <c r="F242" s="15" t="n">
        <v>0.5</v>
      </c>
      <c r="G242" s="15" t="n">
        <v>3.5</v>
      </c>
      <c r="H242" s="16" t="inlineStr">
        <is>
          <t>6e ch8 : 7 h / 1 = 7.0 h</t>
        </is>
      </c>
    </row>
    <row r="243" ht="15" customHeight="1" s="10">
      <c r="A243" s="17" t="inlineStr">
        <is>
          <t>G.TRI</t>
        </is>
      </c>
      <c r="B243" s="17" t="inlineStr">
        <is>
          <t>Triangles : construction et nature</t>
        </is>
      </c>
      <c r="C243" s="17" t="n">
        <v>7</v>
      </c>
      <c r="D243" s="17" t="inlineStr">
        <is>
          <t>CPT</t>
        </is>
      </c>
      <c r="E243" s="17" t="inlineStr">
        <is>
          <t>Erreur conceptuelle</t>
        </is>
      </c>
      <c r="F243" s="17" t="n">
        <v>0.35</v>
      </c>
      <c r="G243" s="17" t="n">
        <v>2.5</v>
      </c>
      <c r="H243" s="18" t="inlineStr">
        <is>
          <t>6e ch8 : 7 h / 1 = 7.0 h</t>
        </is>
      </c>
    </row>
    <row r="244" ht="15" customHeight="1" s="10">
      <c r="A244" s="15" t="inlineStr">
        <is>
          <t>G.TRI</t>
        </is>
      </c>
      <c r="B244" s="15" t="inlineStr">
        <is>
          <t>Triangles : construction et nature</t>
        </is>
      </c>
      <c r="C244" s="15" t="n">
        <v>7</v>
      </c>
      <c r="D244" s="15" t="inlineStr">
        <is>
          <t>MOD</t>
        </is>
      </c>
      <c r="E244" s="15" t="inlineStr">
        <is>
          <t>Erreur de modelisation</t>
        </is>
      </c>
      <c r="F244" s="15" t="n">
        <v>0.25</v>
      </c>
      <c r="G244" s="15" t="n">
        <v>2</v>
      </c>
      <c r="H244" s="16" t="inlineStr">
        <is>
          <t>6e ch8 : 7 h / 1 = 7.0 h</t>
        </is>
      </c>
    </row>
    <row r="245" ht="15" customHeight="1" s="10">
      <c r="A245" s="17" t="inlineStr">
        <is>
          <t>G.TRI</t>
        </is>
      </c>
      <c r="B245" s="17" t="inlineStr">
        <is>
          <t>Triangles : construction et nature</t>
        </is>
      </c>
      <c r="C245" s="17" t="n">
        <v>7</v>
      </c>
      <c r="D245" s="17" t="inlineStr">
        <is>
          <t>PRC</t>
        </is>
      </c>
      <c r="E245" s="17" t="inlineStr">
        <is>
          <t>Erreur procedurale</t>
        </is>
      </c>
      <c r="F245" s="17" t="n">
        <v>0.15</v>
      </c>
      <c r="G245" s="17" t="n">
        <v>1</v>
      </c>
      <c r="H245" s="18" t="inlineStr">
        <is>
          <t>6e ch8 : 7 h / 1 = 7.0 h</t>
        </is>
      </c>
    </row>
    <row r="246" ht="15" customHeight="1" s="10">
      <c r="A246" s="15" t="inlineStr">
        <is>
          <t>G.TRI</t>
        </is>
      </c>
      <c r="B246" s="15" t="inlineStr">
        <is>
          <t>Triangles : construction et nature</t>
        </is>
      </c>
      <c r="C246" s="15" t="n">
        <v>7</v>
      </c>
      <c r="D246" s="15" t="inlineStr">
        <is>
          <t>CNS</t>
        </is>
      </c>
      <c r="E246" s="15" t="inlineStr">
        <is>
          <t>Connaissance non disponible</t>
        </is>
      </c>
      <c r="F246" s="15" t="n">
        <v>0.1</v>
      </c>
      <c r="G246" s="15" t="n">
        <v>0.5</v>
      </c>
      <c r="H246" s="16" t="inlineStr">
        <is>
          <t>6e ch8 : 7 h / 1 = 7.0 h</t>
        </is>
      </c>
    </row>
    <row r="247" ht="15" customHeight="1" s="10">
      <c r="A247" s="17" t="inlineStr">
        <is>
          <t>G.TRI</t>
        </is>
      </c>
      <c r="B247" s="17" t="inlineStr">
        <is>
          <t>Triangles : construction et nature</t>
        </is>
      </c>
      <c r="C247" s="17" t="n">
        <v>7</v>
      </c>
      <c r="D247" s="17" t="inlineStr">
        <is>
          <t>RED</t>
        </is>
      </c>
      <c r="E247" s="17" t="inlineStr">
        <is>
          <t>Defaut de redaction ou de justification</t>
        </is>
      </c>
      <c r="F247" s="17" t="n">
        <v>0.15</v>
      </c>
      <c r="G247" s="17" t="n">
        <v>1</v>
      </c>
      <c r="H247" s="18" t="inlineStr">
        <is>
          <t>6e ch8 : 7 h / 1 = 7.0 h</t>
        </is>
      </c>
    </row>
    <row r="248" ht="15" customHeight="1" s="10">
      <c r="A248" s="15" t="inlineStr">
        <is>
          <t>G.PARAL</t>
        </is>
      </c>
      <c r="B248" s="15" t="inlineStr">
        <is>
          <t>Parallelogrammes</t>
        </is>
      </c>
      <c r="C248" s="15" t="n">
        <v>8.5</v>
      </c>
      <c r="D248" s="15" t="inlineStr">
        <is>
          <t>PRQ</t>
        </is>
      </c>
      <c r="E248" s="15" t="inlineStr">
        <is>
          <t>Prerequis manquant</t>
        </is>
      </c>
      <c r="F248" s="15" t="n">
        <v>0.5</v>
      </c>
      <c r="G248" s="15" t="n">
        <v>4</v>
      </c>
      <c r="H248" s="16" t="inlineStr">
        <is>
          <t>6e ch5 : 7 h / 2 = 3.5 h + 6e ch6 : 10 h / 2 = 5.0 h</t>
        </is>
      </c>
    </row>
    <row r="249" ht="15" customHeight="1" s="10">
      <c r="A249" s="17" t="inlineStr">
        <is>
          <t>G.PARAL</t>
        </is>
      </c>
      <c r="B249" s="17" t="inlineStr">
        <is>
          <t>Parallelogrammes</t>
        </is>
      </c>
      <c r="C249" s="17" t="n">
        <v>8.5</v>
      </c>
      <c r="D249" s="17" t="inlineStr">
        <is>
          <t>CPT</t>
        </is>
      </c>
      <c r="E249" s="17" t="inlineStr">
        <is>
          <t>Erreur conceptuelle</t>
        </is>
      </c>
      <c r="F249" s="17" t="n">
        <v>0.35</v>
      </c>
      <c r="G249" s="17" t="n">
        <v>3</v>
      </c>
      <c r="H249" s="18" t="inlineStr">
        <is>
          <t>6e ch5 : 7 h / 2 = 3.5 h + 6e ch6 : 10 h / 2 = 5.0 h</t>
        </is>
      </c>
    </row>
    <row r="250" ht="15" customHeight="1" s="10">
      <c r="A250" s="15" t="inlineStr">
        <is>
          <t>G.PARAL</t>
        </is>
      </c>
      <c r="B250" s="15" t="inlineStr">
        <is>
          <t>Parallelogrammes</t>
        </is>
      </c>
      <c r="C250" s="15" t="n">
        <v>8.5</v>
      </c>
      <c r="D250" s="15" t="inlineStr">
        <is>
          <t>MOD</t>
        </is>
      </c>
      <c r="E250" s="15" t="inlineStr">
        <is>
          <t>Erreur de modelisation</t>
        </is>
      </c>
      <c r="F250" s="15" t="n">
        <v>0.25</v>
      </c>
      <c r="G250" s="15" t="n">
        <v>2</v>
      </c>
      <c r="H250" s="16" t="inlineStr">
        <is>
          <t>6e ch5 : 7 h / 2 = 3.5 h + 6e ch6 : 10 h / 2 = 5.0 h</t>
        </is>
      </c>
    </row>
    <row r="251" ht="15" customHeight="1" s="10">
      <c r="A251" s="17" t="inlineStr">
        <is>
          <t>G.PARAL</t>
        </is>
      </c>
      <c r="B251" s="17" t="inlineStr">
        <is>
          <t>Parallelogrammes</t>
        </is>
      </c>
      <c r="C251" s="17" t="n">
        <v>8.5</v>
      </c>
      <c r="D251" s="17" t="inlineStr">
        <is>
          <t>PRC</t>
        </is>
      </c>
      <c r="E251" s="17" t="inlineStr">
        <is>
          <t>Erreur procedurale</t>
        </is>
      </c>
      <c r="F251" s="17" t="n">
        <v>0.15</v>
      </c>
      <c r="G251" s="17" t="n">
        <v>1.5</v>
      </c>
      <c r="H251" s="18" t="inlineStr">
        <is>
          <t>6e ch5 : 7 h / 2 = 3.5 h + 6e ch6 : 10 h / 2 = 5.0 h</t>
        </is>
      </c>
    </row>
    <row r="252" ht="15" customHeight="1" s="10">
      <c r="A252" s="15" t="inlineStr">
        <is>
          <t>G.PARAL</t>
        </is>
      </c>
      <c r="B252" s="15" t="inlineStr">
        <is>
          <t>Parallelogrammes</t>
        </is>
      </c>
      <c r="C252" s="15" t="n">
        <v>8.5</v>
      </c>
      <c r="D252" s="15" t="inlineStr">
        <is>
          <t>CNS</t>
        </is>
      </c>
      <c r="E252" s="15" t="inlineStr">
        <is>
          <t>Connaissance non disponible</t>
        </is>
      </c>
      <c r="F252" s="15" t="n">
        <v>0.1</v>
      </c>
      <c r="G252" s="15" t="n">
        <v>1</v>
      </c>
      <c r="H252" s="16" t="inlineStr">
        <is>
          <t>6e ch5 : 7 h / 2 = 3.5 h + 6e ch6 : 10 h / 2 = 5.0 h</t>
        </is>
      </c>
    </row>
    <row r="253" ht="15" customHeight="1" s="10">
      <c r="A253" s="17" t="inlineStr">
        <is>
          <t>G.PARAL</t>
        </is>
      </c>
      <c r="B253" s="17" t="inlineStr">
        <is>
          <t>Parallelogrammes</t>
        </is>
      </c>
      <c r="C253" s="17" t="n">
        <v>8.5</v>
      </c>
      <c r="D253" s="17" t="inlineStr">
        <is>
          <t>RED</t>
        </is>
      </c>
      <c r="E253" s="17" t="inlineStr">
        <is>
          <t>Defaut de redaction ou de justification</t>
        </is>
      </c>
      <c r="F253" s="17" t="n">
        <v>0.15</v>
      </c>
      <c r="G253" s="17" t="n">
        <v>1.5</v>
      </c>
      <c r="H253" s="18" t="inlineStr">
        <is>
          <t>6e ch5 : 7 h / 2 = 3.5 h + 6e ch6 : 10 h / 2 = 5.0 h</t>
        </is>
      </c>
    </row>
    <row r="254" ht="15" customHeight="1" s="10">
      <c r="A254" s="15" t="inlineStr">
        <is>
          <t>G.CERC</t>
        </is>
      </c>
      <c r="B254" s="15" t="inlineStr">
        <is>
          <t>Cercle et disque</t>
        </is>
      </c>
      <c r="C254" s="15" t="n">
        <v>2</v>
      </c>
      <c r="D254" s="15" t="inlineStr">
        <is>
          <t>PRQ</t>
        </is>
      </c>
      <c r="E254" s="15" t="inlineStr">
        <is>
          <t>Prerequis manquant</t>
        </is>
      </c>
      <c r="F254" s="15" t="n">
        <v>0.5</v>
      </c>
      <c r="G254" s="15" t="n">
        <v>1</v>
      </c>
      <c r="H254" s="16" t="inlineStr">
        <is>
          <t>6e ch9 : 4 h / 2 = 2.0 h</t>
        </is>
      </c>
    </row>
    <row r="255" ht="15" customHeight="1" s="10">
      <c r="A255" s="17" t="inlineStr">
        <is>
          <t>G.CERC</t>
        </is>
      </c>
      <c r="B255" s="17" t="inlineStr">
        <is>
          <t>Cercle et disque</t>
        </is>
      </c>
      <c r="C255" s="17" t="n">
        <v>2</v>
      </c>
      <c r="D255" s="17" t="inlineStr">
        <is>
          <t>CPT</t>
        </is>
      </c>
      <c r="E255" s="17" t="inlineStr">
        <is>
          <t>Erreur conceptuelle</t>
        </is>
      </c>
      <c r="F255" s="17" t="n">
        <v>0.35</v>
      </c>
      <c r="G255" s="17" t="n">
        <v>0.5</v>
      </c>
      <c r="H255" s="18" t="inlineStr">
        <is>
          <t>6e ch9 : 4 h / 2 = 2.0 h</t>
        </is>
      </c>
    </row>
    <row r="256" ht="15" customHeight="1" s="10">
      <c r="A256" s="15" t="inlineStr">
        <is>
          <t>G.CERC</t>
        </is>
      </c>
      <c r="B256" s="15" t="inlineStr">
        <is>
          <t>Cercle et disque</t>
        </is>
      </c>
      <c r="C256" s="15" t="n">
        <v>2</v>
      </c>
      <c r="D256" s="15" t="inlineStr">
        <is>
          <t>MOD</t>
        </is>
      </c>
      <c r="E256" s="15" t="inlineStr">
        <is>
          <t>Erreur de modelisation</t>
        </is>
      </c>
      <c r="F256" s="15" t="n">
        <v>0.25</v>
      </c>
      <c r="G256" s="15" t="n">
        <v>0.5</v>
      </c>
      <c r="H256" s="16" t="inlineStr">
        <is>
          <t>6e ch9 : 4 h / 2 = 2.0 h</t>
        </is>
      </c>
    </row>
    <row r="257" ht="15" customHeight="1" s="10">
      <c r="A257" s="17" t="inlineStr">
        <is>
          <t>G.CERC</t>
        </is>
      </c>
      <c r="B257" s="17" t="inlineStr">
        <is>
          <t>Cercle et disque</t>
        </is>
      </c>
      <c r="C257" s="17" t="n">
        <v>2</v>
      </c>
      <c r="D257" s="17" t="inlineStr">
        <is>
          <t>PRC</t>
        </is>
      </c>
      <c r="E257" s="17" t="inlineStr">
        <is>
          <t>Erreur procedurale</t>
        </is>
      </c>
      <c r="F257" s="17" t="n">
        <v>0.15</v>
      </c>
      <c r="G257" s="17" t="n">
        <v>0.5</v>
      </c>
      <c r="H257" s="18" t="inlineStr">
        <is>
          <t>6e ch9 : 4 h / 2 = 2.0 h</t>
        </is>
      </c>
    </row>
    <row r="258" ht="15" customHeight="1" s="10">
      <c r="A258" s="15" t="inlineStr">
        <is>
          <t>G.CERC</t>
        </is>
      </c>
      <c r="B258" s="15" t="inlineStr">
        <is>
          <t>Cercle et disque</t>
        </is>
      </c>
      <c r="C258" s="15" t="n">
        <v>2</v>
      </c>
      <c r="D258" s="15" t="inlineStr">
        <is>
          <t>CNS</t>
        </is>
      </c>
      <c r="E258" s="15" t="inlineStr">
        <is>
          <t>Connaissance non disponible</t>
        </is>
      </c>
      <c r="F258" s="15" t="n">
        <v>0.1</v>
      </c>
      <c r="G258" s="15" t="n">
        <v>0.5</v>
      </c>
      <c r="H258" s="16" t="inlineStr">
        <is>
          <t>6e ch9 : 4 h / 2 = 2.0 h</t>
        </is>
      </c>
    </row>
    <row r="259" ht="15" customHeight="1" s="10">
      <c r="A259" s="17" t="inlineStr">
        <is>
          <t>G.CERC</t>
        </is>
      </c>
      <c r="B259" s="17" t="inlineStr">
        <is>
          <t>Cercle et disque</t>
        </is>
      </c>
      <c r="C259" s="17" t="n">
        <v>2</v>
      </c>
      <c r="D259" s="17" t="inlineStr">
        <is>
          <t>RED</t>
        </is>
      </c>
      <c r="E259" s="17" t="inlineStr">
        <is>
          <t>Defaut de redaction ou de justification</t>
        </is>
      </c>
      <c r="F259" s="17" t="n">
        <v>0.15</v>
      </c>
      <c r="G259" s="17" t="n">
        <v>0.5</v>
      </c>
      <c r="H259" s="18" t="inlineStr">
        <is>
          <t>6e ch9 : 4 h / 2 = 2.0 h</t>
        </is>
      </c>
    </row>
    <row r="260" ht="15" customHeight="1" s="10">
      <c r="A260" s="15" t="inlineStr">
        <is>
          <t>G.MED</t>
        </is>
      </c>
      <c r="B260" s="15" t="inlineStr">
        <is>
          <t>Mediatrice</t>
        </is>
      </c>
      <c r="C260" s="15" t="n">
        <v>9</v>
      </c>
      <c r="D260" s="15" t="inlineStr">
        <is>
          <t>PRQ</t>
        </is>
      </c>
      <c r="E260" s="15" t="inlineStr">
        <is>
          <t>Prerequis manquant</t>
        </is>
      </c>
      <c r="F260" s="15" t="n">
        <v>0.5</v>
      </c>
      <c r="G260" s="15" t="n">
        <v>4</v>
      </c>
      <c r="H260" s="16" t="inlineStr">
        <is>
          <t>6e ch10 : 9 h / 1 = 9.0 h</t>
        </is>
      </c>
    </row>
    <row r="261" ht="15" customHeight="1" s="10">
      <c r="A261" s="17" t="inlineStr">
        <is>
          <t>G.MED</t>
        </is>
      </c>
      <c r="B261" s="17" t="inlineStr">
        <is>
          <t>Mediatrice</t>
        </is>
      </c>
      <c r="C261" s="17" t="n">
        <v>9</v>
      </c>
      <c r="D261" s="17" t="inlineStr">
        <is>
          <t>CPT</t>
        </is>
      </c>
      <c r="E261" s="17" t="inlineStr">
        <is>
          <t>Erreur conceptuelle</t>
        </is>
      </c>
      <c r="F261" s="17" t="n">
        <v>0.35</v>
      </c>
      <c r="G261" s="17" t="n">
        <v>3</v>
      </c>
      <c r="H261" s="18" t="inlineStr">
        <is>
          <t>6e ch10 : 9 h / 1 = 9.0 h</t>
        </is>
      </c>
    </row>
    <row r="262" ht="15" customHeight="1" s="10">
      <c r="A262" s="15" t="inlineStr">
        <is>
          <t>G.MED</t>
        </is>
      </c>
      <c r="B262" s="15" t="inlineStr">
        <is>
          <t>Mediatrice</t>
        </is>
      </c>
      <c r="C262" s="15" t="n">
        <v>9</v>
      </c>
      <c r="D262" s="15" t="inlineStr">
        <is>
          <t>MOD</t>
        </is>
      </c>
      <c r="E262" s="15" t="inlineStr">
        <is>
          <t>Erreur de modelisation</t>
        </is>
      </c>
      <c r="F262" s="15" t="n">
        <v>0.25</v>
      </c>
      <c r="G262" s="15" t="n">
        <v>2</v>
      </c>
      <c r="H262" s="16" t="inlineStr">
        <is>
          <t>6e ch10 : 9 h / 1 = 9.0 h</t>
        </is>
      </c>
    </row>
    <row r="263" ht="15" customHeight="1" s="10">
      <c r="A263" s="17" t="inlineStr">
        <is>
          <t>G.MED</t>
        </is>
      </c>
      <c r="B263" s="17" t="inlineStr">
        <is>
          <t>Mediatrice</t>
        </is>
      </c>
      <c r="C263" s="17" t="n">
        <v>9</v>
      </c>
      <c r="D263" s="17" t="inlineStr">
        <is>
          <t>PRC</t>
        </is>
      </c>
      <c r="E263" s="17" t="inlineStr">
        <is>
          <t>Erreur procedurale</t>
        </is>
      </c>
      <c r="F263" s="17" t="n">
        <v>0.15</v>
      </c>
      <c r="G263" s="17" t="n">
        <v>1.5</v>
      </c>
      <c r="H263" s="18" t="inlineStr">
        <is>
          <t>6e ch10 : 9 h / 1 = 9.0 h</t>
        </is>
      </c>
    </row>
    <row r="264" ht="15" customHeight="1" s="10">
      <c r="A264" s="15" t="inlineStr">
        <is>
          <t>G.MED</t>
        </is>
      </c>
      <c r="B264" s="15" t="inlineStr">
        <is>
          <t>Mediatrice</t>
        </is>
      </c>
      <c r="C264" s="15" t="n">
        <v>9</v>
      </c>
      <c r="D264" s="15" t="inlineStr">
        <is>
          <t>CNS</t>
        </is>
      </c>
      <c r="E264" s="15" t="inlineStr">
        <is>
          <t>Connaissance non disponible</t>
        </is>
      </c>
      <c r="F264" s="15" t="n">
        <v>0.1</v>
      </c>
      <c r="G264" s="15" t="n">
        <v>1</v>
      </c>
      <c r="H264" s="16" t="inlineStr">
        <is>
          <t>6e ch10 : 9 h / 1 = 9.0 h</t>
        </is>
      </c>
    </row>
    <row r="265" ht="15" customHeight="1" s="10">
      <c r="A265" s="17" t="inlineStr">
        <is>
          <t>G.MED</t>
        </is>
      </c>
      <c r="B265" s="17" t="inlineStr">
        <is>
          <t>Mediatrice</t>
        </is>
      </c>
      <c r="C265" s="17" t="n">
        <v>9</v>
      </c>
      <c r="D265" s="17" t="inlineStr">
        <is>
          <t>RED</t>
        </is>
      </c>
      <c r="E265" s="17" t="inlineStr">
        <is>
          <t>Defaut de redaction ou de justification</t>
        </is>
      </c>
      <c r="F265" s="17" t="n">
        <v>0.15</v>
      </c>
      <c r="G265" s="17" t="n">
        <v>1.5</v>
      </c>
      <c r="H265" s="18" t="inlineStr">
        <is>
          <t>6e ch10 : 9 h / 1 = 9.0 h</t>
        </is>
      </c>
    </row>
    <row r="266" ht="15" customHeight="1" s="10">
      <c r="A266" s="15" t="inlineStr">
        <is>
          <t>G.SYMO</t>
        </is>
      </c>
      <c r="B266" s="15" t="inlineStr">
        <is>
          <t>Symetrie orthogonale</t>
        </is>
      </c>
      <c r="C266" s="15" t="n">
        <v>10</v>
      </c>
      <c r="D266" s="15" t="inlineStr">
        <is>
          <t>PRQ</t>
        </is>
      </c>
      <c r="E266" s="15" t="inlineStr">
        <is>
          <t>Prerequis manquant</t>
        </is>
      </c>
      <c r="F266" s="15" t="n">
        <v>0.5</v>
      </c>
      <c r="G266" s="15" t="n">
        <v>4</v>
      </c>
      <c r="H266" s="16" t="inlineStr">
        <is>
          <t>6e ch11 : 10 h / 1 = 10.0 h</t>
        </is>
      </c>
    </row>
    <row r="267" ht="15" customHeight="1" s="10">
      <c r="A267" s="17" t="inlineStr">
        <is>
          <t>G.SYMO</t>
        </is>
      </c>
      <c r="B267" s="17" t="inlineStr">
        <is>
          <t>Symetrie orthogonale</t>
        </is>
      </c>
      <c r="C267" s="17" t="n">
        <v>10</v>
      </c>
      <c r="D267" s="17" t="inlineStr">
        <is>
          <t>CPT</t>
        </is>
      </c>
      <c r="E267" s="17" t="inlineStr">
        <is>
          <t>Erreur conceptuelle</t>
        </is>
      </c>
      <c r="F267" s="17" t="n">
        <v>0.35</v>
      </c>
      <c r="G267" s="17" t="n">
        <v>3.5</v>
      </c>
      <c r="H267" s="18" t="inlineStr">
        <is>
          <t>6e ch11 : 10 h / 1 = 10.0 h</t>
        </is>
      </c>
    </row>
    <row r="268" ht="15" customHeight="1" s="10">
      <c r="A268" s="15" t="inlineStr">
        <is>
          <t>G.SYMO</t>
        </is>
      </c>
      <c r="B268" s="15" t="inlineStr">
        <is>
          <t>Symetrie orthogonale</t>
        </is>
      </c>
      <c r="C268" s="15" t="n">
        <v>10</v>
      </c>
      <c r="D268" s="15" t="inlineStr">
        <is>
          <t>MOD</t>
        </is>
      </c>
      <c r="E268" s="15" t="inlineStr">
        <is>
          <t>Erreur de modelisation</t>
        </is>
      </c>
      <c r="F268" s="15" t="n">
        <v>0.25</v>
      </c>
      <c r="G268" s="15" t="n">
        <v>2.5</v>
      </c>
      <c r="H268" s="16" t="inlineStr">
        <is>
          <t>6e ch11 : 10 h / 1 = 10.0 h</t>
        </is>
      </c>
    </row>
    <row r="269" ht="15" customHeight="1" s="10">
      <c r="A269" s="17" t="inlineStr">
        <is>
          <t>G.SYMO</t>
        </is>
      </c>
      <c r="B269" s="17" t="inlineStr">
        <is>
          <t>Symetrie orthogonale</t>
        </is>
      </c>
      <c r="C269" s="17" t="n">
        <v>10</v>
      </c>
      <c r="D269" s="17" t="inlineStr">
        <is>
          <t>PRC</t>
        </is>
      </c>
      <c r="E269" s="17" t="inlineStr">
        <is>
          <t>Erreur procedurale</t>
        </is>
      </c>
      <c r="F269" s="17" t="n">
        <v>0.15</v>
      </c>
      <c r="G269" s="17" t="n">
        <v>1.5</v>
      </c>
      <c r="H269" s="18" t="inlineStr">
        <is>
          <t>6e ch11 : 10 h / 1 = 10.0 h</t>
        </is>
      </c>
    </row>
    <row r="270" ht="15" customHeight="1" s="10">
      <c r="A270" s="15" t="inlineStr">
        <is>
          <t>G.SYMO</t>
        </is>
      </c>
      <c r="B270" s="15" t="inlineStr">
        <is>
          <t>Symetrie orthogonale</t>
        </is>
      </c>
      <c r="C270" s="15" t="n">
        <v>10</v>
      </c>
      <c r="D270" s="15" t="inlineStr">
        <is>
          <t>CNS</t>
        </is>
      </c>
      <c r="E270" s="15" t="inlineStr">
        <is>
          <t>Connaissance non disponible</t>
        </is>
      </c>
      <c r="F270" s="15" t="n">
        <v>0.1</v>
      </c>
      <c r="G270" s="15" t="n">
        <v>1</v>
      </c>
      <c r="H270" s="16" t="inlineStr">
        <is>
          <t>6e ch11 : 10 h / 1 = 10.0 h</t>
        </is>
      </c>
    </row>
    <row r="271" ht="15" customHeight="1" s="10">
      <c r="A271" s="17" t="inlineStr">
        <is>
          <t>G.SYMO</t>
        </is>
      </c>
      <c r="B271" s="17" t="inlineStr">
        <is>
          <t>Symetrie orthogonale</t>
        </is>
      </c>
      <c r="C271" s="17" t="n">
        <v>10</v>
      </c>
      <c r="D271" s="17" t="inlineStr">
        <is>
          <t>RED</t>
        </is>
      </c>
      <c r="E271" s="17" t="inlineStr">
        <is>
          <t>Defaut de redaction ou de justification</t>
        </is>
      </c>
      <c r="F271" s="17" t="n">
        <v>0.15</v>
      </c>
      <c r="G271" s="17" t="n">
        <v>1.5</v>
      </c>
      <c r="H271" s="18" t="inlineStr">
        <is>
          <t>6e ch11 : 10 h / 1 = 10.0 h</t>
        </is>
      </c>
    </row>
    <row r="272" ht="15" customHeight="1" s="10">
      <c r="A272" s="15" t="inlineStr">
        <is>
          <t>G.SYMC</t>
        </is>
      </c>
      <c r="B272" s="15" t="inlineStr">
        <is>
          <t>Symetrie centrale</t>
        </is>
      </c>
      <c r="C272" s="15" t="n">
        <v>9</v>
      </c>
      <c r="D272" s="15" t="inlineStr">
        <is>
          <t>PRQ</t>
        </is>
      </c>
      <c r="E272" s="15" t="inlineStr">
        <is>
          <t>Prerequis manquant</t>
        </is>
      </c>
      <c r="F272" s="15" t="n">
        <v>0.5</v>
      </c>
      <c r="G272" s="15" t="n">
        <v>4</v>
      </c>
      <c r="H272" s="16" t="inlineStr">
        <is>
          <t>5e ch1 : 3 h / 1 = 3.0 h + 5e ch3 : 6 h / 1 = 6.0 h</t>
        </is>
      </c>
    </row>
    <row r="273" ht="15" customHeight="1" s="10">
      <c r="A273" s="17" t="inlineStr">
        <is>
          <t>G.SYMC</t>
        </is>
      </c>
      <c r="B273" s="17" t="inlineStr">
        <is>
          <t>Symetrie centrale</t>
        </is>
      </c>
      <c r="C273" s="17" t="n">
        <v>9</v>
      </c>
      <c r="D273" s="17" t="inlineStr">
        <is>
          <t>CPT</t>
        </is>
      </c>
      <c r="E273" s="17" t="inlineStr">
        <is>
          <t>Erreur conceptuelle</t>
        </is>
      </c>
      <c r="F273" s="17" t="n">
        <v>0.35</v>
      </c>
      <c r="G273" s="17" t="n">
        <v>3</v>
      </c>
      <c r="H273" s="18" t="inlineStr">
        <is>
          <t>5e ch1 : 3 h / 1 = 3.0 h + 5e ch3 : 6 h / 1 = 6.0 h</t>
        </is>
      </c>
    </row>
    <row r="274" ht="15" customHeight="1" s="10">
      <c r="A274" s="15" t="inlineStr">
        <is>
          <t>G.SYMC</t>
        </is>
      </c>
      <c r="B274" s="15" t="inlineStr">
        <is>
          <t>Symetrie centrale</t>
        </is>
      </c>
      <c r="C274" s="15" t="n">
        <v>9</v>
      </c>
      <c r="D274" s="15" t="inlineStr">
        <is>
          <t>MOD</t>
        </is>
      </c>
      <c r="E274" s="15" t="inlineStr">
        <is>
          <t>Erreur de modelisation</t>
        </is>
      </c>
      <c r="F274" s="15" t="n">
        <v>0.25</v>
      </c>
      <c r="G274" s="15" t="n">
        <v>2</v>
      </c>
      <c r="H274" s="16" t="inlineStr">
        <is>
          <t>5e ch1 : 3 h / 1 = 3.0 h + 5e ch3 : 6 h / 1 = 6.0 h</t>
        </is>
      </c>
    </row>
    <row r="275" ht="15" customHeight="1" s="10">
      <c r="A275" s="17" t="inlineStr">
        <is>
          <t>G.SYMC</t>
        </is>
      </c>
      <c r="B275" s="17" t="inlineStr">
        <is>
          <t>Symetrie centrale</t>
        </is>
      </c>
      <c r="C275" s="17" t="n">
        <v>9</v>
      </c>
      <c r="D275" s="17" t="inlineStr">
        <is>
          <t>PRC</t>
        </is>
      </c>
      <c r="E275" s="17" t="inlineStr">
        <is>
          <t>Erreur procedurale</t>
        </is>
      </c>
      <c r="F275" s="17" t="n">
        <v>0.15</v>
      </c>
      <c r="G275" s="17" t="n">
        <v>1.5</v>
      </c>
      <c r="H275" s="18" t="inlineStr">
        <is>
          <t>5e ch1 : 3 h / 1 = 3.0 h + 5e ch3 : 6 h / 1 = 6.0 h</t>
        </is>
      </c>
    </row>
    <row r="276" ht="15" customHeight="1" s="10">
      <c r="A276" s="15" t="inlineStr">
        <is>
          <t>G.SYMC</t>
        </is>
      </c>
      <c r="B276" s="15" t="inlineStr">
        <is>
          <t>Symetrie centrale</t>
        </is>
      </c>
      <c r="C276" s="15" t="n">
        <v>9</v>
      </c>
      <c r="D276" s="15" t="inlineStr">
        <is>
          <t>CNS</t>
        </is>
      </c>
      <c r="E276" s="15" t="inlineStr">
        <is>
          <t>Connaissance non disponible</t>
        </is>
      </c>
      <c r="F276" s="15" t="n">
        <v>0.1</v>
      </c>
      <c r="G276" s="15" t="n">
        <v>1</v>
      </c>
      <c r="H276" s="16" t="inlineStr">
        <is>
          <t>5e ch1 : 3 h / 1 = 3.0 h + 5e ch3 : 6 h / 1 = 6.0 h</t>
        </is>
      </c>
    </row>
    <row r="277" ht="15" customHeight="1" s="10">
      <c r="A277" s="17" t="inlineStr">
        <is>
          <t>G.SYMC</t>
        </is>
      </c>
      <c r="B277" s="17" t="inlineStr">
        <is>
          <t>Symetrie centrale</t>
        </is>
      </c>
      <c r="C277" s="17" t="n">
        <v>9</v>
      </c>
      <c r="D277" s="17" t="inlineStr">
        <is>
          <t>RED</t>
        </is>
      </c>
      <c r="E277" s="17" t="inlineStr">
        <is>
          <t>Defaut de redaction ou de justification</t>
        </is>
      </c>
      <c r="F277" s="17" t="n">
        <v>0.15</v>
      </c>
      <c r="G277" s="17" t="n">
        <v>1.5</v>
      </c>
      <c r="H277" s="18" t="inlineStr">
        <is>
          <t>5e ch1 : 3 h / 1 = 3.0 h + 5e ch3 : 6 h / 1 = 6.0 h</t>
        </is>
      </c>
    </row>
    <row r="278" ht="15" customHeight="1" s="10">
      <c r="A278" s="15" t="inlineStr">
        <is>
          <t>G.ANG3</t>
        </is>
      </c>
      <c r="B278" s="15" t="inlineStr">
        <is>
          <t>Angles et droites paralleles</t>
        </is>
      </c>
      <c r="C278" s="15" t="n">
        <v>3</v>
      </c>
      <c r="D278" s="15" t="inlineStr">
        <is>
          <t>PRQ</t>
        </is>
      </c>
      <c r="E278" s="15" t="inlineStr">
        <is>
          <t>Prerequis manquant</t>
        </is>
      </c>
      <c r="F278" s="15" t="n">
        <v>0.5</v>
      </c>
      <c r="G278" s="15" t="n">
        <v>1.5</v>
      </c>
      <c r="H278" s="16" t="inlineStr">
        <is>
          <t>5e ch6 : 6 h / 2 = 3.0 h</t>
        </is>
      </c>
    </row>
    <row r="279" ht="15" customHeight="1" s="10">
      <c r="A279" s="17" t="inlineStr">
        <is>
          <t>G.ANG3</t>
        </is>
      </c>
      <c r="B279" s="17" t="inlineStr">
        <is>
          <t>Angles et droites paralleles</t>
        </is>
      </c>
      <c r="C279" s="17" t="n">
        <v>3</v>
      </c>
      <c r="D279" s="17" t="inlineStr">
        <is>
          <t>CPT</t>
        </is>
      </c>
      <c r="E279" s="17" t="inlineStr">
        <is>
          <t>Erreur conceptuelle</t>
        </is>
      </c>
      <c r="F279" s="17" t="n">
        <v>0.35</v>
      </c>
      <c r="G279" s="17" t="n">
        <v>1</v>
      </c>
      <c r="H279" s="18" t="inlineStr">
        <is>
          <t>5e ch6 : 6 h / 2 = 3.0 h</t>
        </is>
      </c>
    </row>
    <row r="280" ht="15" customHeight="1" s="10">
      <c r="A280" s="15" t="inlineStr">
        <is>
          <t>G.ANG3</t>
        </is>
      </c>
      <c r="B280" s="15" t="inlineStr">
        <is>
          <t>Angles et droites paralleles</t>
        </is>
      </c>
      <c r="C280" s="15" t="n">
        <v>3</v>
      </c>
      <c r="D280" s="15" t="inlineStr">
        <is>
          <t>MOD</t>
        </is>
      </c>
      <c r="E280" s="15" t="inlineStr">
        <is>
          <t>Erreur de modelisation</t>
        </is>
      </c>
      <c r="F280" s="15" t="n">
        <v>0.25</v>
      </c>
      <c r="G280" s="15" t="n">
        <v>1</v>
      </c>
      <c r="H280" s="16" t="inlineStr">
        <is>
          <t>5e ch6 : 6 h / 2 = 3.0 h</t>
        </is>
      </c>
    </row>
    <row r="281" ht="15" customHeight="1" s="10">
      <c r="A281" s="17" t="inlineStr">
        <is>
          <t>G.ANG3</t>
        </is>
      </c>
      <c r="B281" s="17" t="inlineStr">
        <is>
          <t>Angles et droites paralleles</t>
        </is>
      </c>
      <c r="C281" s="17" t="n">
        <v>3</v>
      </c>
      <c r="D281" s="17" t="inlineStr">
        <is>
          <t>PRC</t>
        </is>
      </c>
      <c r="E281" s="17" t="inlineStr">
        <is>
          <t>Erreur procedurale</t>
        </is>
      </c>
      <c r="F281" s="17" t="n">
        <v>0.15</v>
      </c>
      <c r="G281" s="17" t="n">
        <v>0.5</v>
      </c>
      <c r="H281" s="18" t="inlineStr">
        <is>
          <t>5e ch6 : 6 h / 2 = 3.0 h</t>
        </is>
      </c>
    </row>
    <row r="282" ht="15" customHeight="1" s="10">
      <c r="A282" s="15" t="inlineStr">
        <is>
          <t>G.ANG3</t>
        </is>
      </c>
      <c r="B282" s="15" t="inlineStr">
        <is>
          <t>Angles et droites paralleles</t>
        </is>
      </c>
      <c r="C282" s="15" t="n">
        <v>3</v>
      </c>
      <c r="D282" s="15" t="inlineStr">
        <is>
          <t>CNS</t>
        </is>
      </c>
      <c r="E282" s="15" t="inlineStr">
        <is>
          <t>Connaissance non disponible</t>
        </is>
      </c>
      <c r="F282" s="15" t="n">
        <v>0.1</v>
      </c>
      <c r="G282" s="15" t="n">
        <v>0.5</v>
      </c>
      <c r="H282" s="16" t="inlineStr">
        <is>
          <t>5e ch6 : 6 h / 2 = 3.0 h</t>
        </is>
      </c>
    </row>
    <row r="283" ht="15" customHeight="1" s="10">
      <c r="A283" s="17" t="inlineStr">
        <is>
          <t>G.ANG3</t>
        </is>
      </c>
      <c r="B283" s="17" t="inlineStr">
        <is>
          <t>Angles et droites paralleles</t>
        </is>
      </c>
      <c r="C283" s="17" t="n">
        <v>3</v>
      </c>
      <c r="D283" s="17" t="inlineStr">
        <is>
          <t>RED</t>
        </is>
      </c>
      <c r="E283" s="17" t="inlineStr">
        <is>
          <t>Defaut de redaction ou de justification</t>
        </is>
      </c>
      <c r="F283" s="17" t="n">
        <v>0.15</v>
      </c>
      <c r="G283" s="17" t="n">
        <v>0.5</v>
      </c>
      <c r="H283" s="18" t="inlineStr">
        <is>
          <t>5e ch6 : 6 h / 2 = 3.0 h</t>
        </is>
      </c>
    </row>
    <row r="284" ht="15" customHeight="1" s="10">
      <c r="A284" s="15" t="inlineStr">
        <is>
          <t>G.TRIP</t>
        </is>
      </c>
      <c r="B284" s="15" t="inlineStr">
        <is>
          <t>Triangles : proprietes et droites remarquables</t>
        </is>
      </c>
      <c r="C284" s="15" t="n">
        <v>3</v>
      </c>
      <c r="D284" s="15" t="inlineStr">
        <is>
          <t>PRQ</t>
        </is>
      </c>
      <c r="E284" s="15" t="inlineStr">
        <is>
          <t>Prerequis manquant</t>
        </is>
      </c>
      <c r="F284" s="15" t="n">
        <v>0.5</v>
      </c>
      <c r="G284" s="15" t="n">
        <v>1.5</v>
      </c>
      <c r="H284" s="16" t="inlineStr">
        <is>
          <t>5e ch6 : 6 h / 2 = 3.0 h</t>
        </is>
      </c>
    </row>
    <row r="285" ht="15" customHeight="1" s="10">
      <c r="A285" s="17" t="inlineStr">
        <is>
          <t>G.TRIP</t>
        </is>
      </c>
      <c r="B285" s="17" t="inlineStr">
        <is>
          <t>Triangles : proprietes et droites remarquables</t>
        </is>
      </c>
      <c r="C285" s="17" t="n">
        <v>3</v>
      </c>
      <c r="D285" s="17" t="inlineStr">
        <is>
          <t>CPT</t>
        </is>
      </c>
      <c r="E285" s="17" t="inlineStr">
        <is>
          <t>Erreur conceptuelle</t>
        </is>
      </c>
      <c r="F285" s="17" t="n">
        <v>0.35</v>
      </c>
      <c r="G285" s="17" t="n">
        <v>1</v>
      </c>
      <c r="H285" s="18" t="inlineStr">
        <is>
          <t>5e ch6 : 6 h / 2 = 3.0 h</t>
        </is>
      </c>
    </row>
    <row r="286" ht="15" customHeight="1" s="10">
      <c r="A286" s="15" t="inlineStr">
        <is>
          <t>G.TRIP</t>
        </is>
      </c>
      <c r="B286" s="15" t="inlineStr">
        <is>
          <t>Triangles : proprietes et droites remarquables</t>
        </is>
      </c>
      <c r="C286" s="15" t="n">
        <v>3</v>
      </c>
      <c r="D286" s="15" t="inlineStr">
        <is>
          <t>MOD</t>
        </is>
      </c>
      <c r="E286" s="15" t="inlineStr">
        <is>
          <t>Erreur de modelisation</t>
        </is>
      </c>
      <c r="F286" s="15" t="n">
        <v>0.25</v>
      </c>
      <c r="G286" s="15" t="n">
        <v>1</v>
      </c>
      <c r="H286" s="16" t="inlineStr">
        <is>
          <t>5e ch6 : 6 h / 2 = 3.0 h</t>
        </is>
      </c>
    </row>
    <row r="287" ht="15" customHeight="1" s="10">
      <c r="A287" s="17" t="inlineStr">
        <is>
          <t>G.TRIP</t>
        </is>
      </c>
      <c r="B287" s="17" t="inlineStr">
        <is>
          <t>Triangles : proprietes et droites remarquables</t>
        </is>
      </c>
      <c r="C287" s="17" t="n">
        <v>3</v>
      </c>
      <c r="D287" s="17" t="inlineStr">
        <is>
          <t>PRC</t>
        </is>
      </c>
      <c r="E287" s="17" t="inlineStr">
        <is>
          <t>Erreur procedurale</t>
        </is>
      </c>
      <c r="F287" s="17" t="n">
        <v>0.15</v>
      </c>
      <c r="G287" s="17" t="n">
        <v>0.5</v>
      </c>
      <c r="H287" s="18" t="inlineStr">
        <is>
          <t>5e ch6 : 6 h / 2 = 3.0 h</t>
        </is>
      </c>
    </row>
    <row r="288" ht="15" customHeight="1" s="10">
      <c r="A288" s="15" t="inlineStr">
        <is>
          <t>G.TRIP</t>
        </is>
      </c>
      <c r="B288" s="15" t="inlineStr">
        <is>
          <t>Triangles : proprietes et droites remarquables</t>
        </is>
      </c>
      <c r="C288" s="15" t="n">
        <v>3</v>
      </c>
      <c r="D288" s="15" t="inlineStr">
        <is>
          <t>CNS</t>
        </is>
      </c>
      <c r="E288" s="15" t="inlineStr">
        <is>
          <t>Connaissance non disponible</t>
        </is>
      </c>
      <c r="F288" s="15" t="n">
        <v>0.1</v>
      </c>
      <c r="G288" s="15" t="n">
        <v>0.5</v>
      </c>
      <c r="H288" s="16" t="inlineStr">
        <is>
          <t>5e ch6 : 6 h / 2 = 3.0 h</t>
        </is>
      </c>
    </row>
    <row r="289" ht="15" customHeight="1" s="10">
      <c r="A289" s="17" t="inlineStr">
        <is>
          <t>G.TRIP</t>
        </is>
      </c>
      <c r="B289" s="17" t="inlineStr">
        <is>
          <t>Triangles : proprietes et droites remarquables</t>
        </is>
      </c>
      <c r="C289" s="17" t="n">
        <v>3</v>
      </c>
      <c r="D289" s="17" t="inlineStr">
        <is>
          <t>RED</t>
        </is>
      </c>
      <c r="E289" s="17" t="inlineStr">
        <is>
          <t>Defaut de redaction ou de justification</t>
        </is>
      </c>
      <c r="F289" s="17" t="n">
        <v>0.15</v>
      </c>
      <c r="G289" s="17" t="n">
        <v>0.5</v>
      </c>
      <c r="H289" s="18" t="inlineStr">
        <is>
          <t>5e ch6 : 6 h / 2 = 3.0 h</t>
        </is>
      </c>
    </row>
    <row r="290" ht="23.85" customHeight="1" s="10">
      <c r="A290" s="15" t="inlineStr">
        <is>
          <t>G.SOL1</t>
        </is>
      </c>
      <c r="B290" s="15" t="inlineStr">
        <is>
          <t>Solides usuels</t>
        </is>
      </c>
      <c r="C290" s="15" t="n">
        <v>20.5</v>
      </c>
      <c r="D290" s="15" t="inlineStr">
        <is>
          <t>PRQ</t>
        </is>
      </c>
      <c r="E290" s="15" t="inlineStr">
        <is>
          <t>Prerequis manquant</t>
        </is>
      </c>
      <c r="F290" s="15" t="n">
        <v>0.5</v>
      </c>
      <c r="G290" s="15" t="n">
        <v>4</v>
      </c>
      <c r="H290" s="16" t="inlineStr">
        <is>
          <t>6e ch18 : 7 h / 2 = 3.5 h + 5e ch9 : 7 h / 1 = 7.0 h + 5e ch12 : 6 h / 1 = 6.0 h + 5e ch15 : 4 h / 1 = 4.0 h</t>
        </is>
      </c>
    </row>
    <row r="291" ht="23.85" customHeight="1" s="10">
      <c r="A291" s="17" t="inlineStr">
        <is>
          <t>G.SOL1</t>
        </is>
      </c>
      <c r="B291" s="17" t="inlineStr">
        <is>
          <t>Solides usuels</t>
        </is>
      </c>
      <c r="C291" s="17" t="n">
        <v>20.5</v>
      </c>
      <c r="D291" s="17" t="inlineStr">
        <is>
          <t>CPT</t>
        </is>
      </c>
      <c r="E291" s="17" t="inlineStr">
        <is>
          <t>Erreur conceptuelle</t>
        </is>
      </c>
      <c r="F291" s="17" t="n">
        <v>0.35</v>
      </c>
      <c r="G291" s="17" t="n">
        <v>4</v>
      </c>
      <c r="H291" s="18" t="inlineStr">
        <is>
          <t>6e ch18 : 7 h / 2 = 3.5 h + 5e ch9 : 7 h / 1 = 7.0 h + 5e ch12 : 6 h / 1 = 6.0 h + 5e ch15 : 4 h / 1 = 4.0 h</t>
        </is>
      </c>
    </row>
    <row r="292" ht="23.85" customHeight="1" s="10">
      <c r="A292" s="15" t="inlineStr">
        <is>
          <t>G.SOL1</t>
        </is>
      </c>
      <c r="B292" s="15" t="inlineStr">
        <is>
          <t>Solides usuels</t>
        </is>
      </c>
      <c r="C292" s="15" t="n">
        <v>20.5</v>
      </c>
      <c r="D292" s="15" t="inlineStr">
        <is>
          <t>MOD</t>
        </is>
      </c>
      <c r="E292" s="15" t="inlineStr">
        <is>
          <t>Erreur de modelisation</t>
        </is>
      </c>
      <c r="F292" s="15" t="n">
        <v>0.25</v>
      </c>
      <c r="G292" s="15" t="n">
        <v>4</v>
      </c>
      <c r="H292" s="16" t="inlineStr">
        <is>
          <t>6e ch18 : 7 h / 2 = 3.5 h + 5e ch9 : 7 h / 1 = 7.0 h + 5e ch12 : 6 h / 1 = 6.0 h + 5e ch15 : 4 h / 1 = 4.0 h</t>
        </is>
      </c>
    </row>
    <row r="293" ht="23.85" customHeight="1" s="10">
      <c r="A293" s="17" t="inlineStr">
        <is>
          <t>G.SOL1</t>
        </is>
      </c>
      <c r="B293" s="17" t="inlineStr">
        <is>
          <t>Solides usuels</t>
        </is>
      </c>
      <c r="C293" s="17" t="n">
        <v>20.5</v>
      </c>
      <c r="D293" s="17" t="inlineStr">
        <is>
          <t>PRC</t>
        </is>
      </c>
      <c r="E293" s="17" t="inlineStr">
        <is>
          <t>Erreur procedurale</t>
        </is>
      </c>
      <c r="F293" s="17" t="n">
        <v>0.15</v>
      </c>
      <c r="G293" s="17" t="n">
        <v>3</v>
      </c>
      <c r="H293" s="18" t="inlineStr">
        <is>
          <t>6e ch18 : 7 h / 2 = 3.5 h + 5e ch9 : 7 h / 1 = 7.0 h + 5e ch12 : 6 h / 1 = 6.0 h + 5e ch15 : 4 h / 1 = 4.0 h</t>
        </is>
      </c>
    </row>
    <row r="294" ht="23.85" customHeight="1" s="10">
      <c r="A294" s="15" t="inlineStr">
        <is>
          <t>G.SOL1</t>
        </is>
      </c>
      <c r="B294" s="15" t="inlineStr">
        <is>
          <t>Solides usuels</t>
        </is>
      </c>
      <c r="C294" s="15" t="n">
        <v>20.5</v>
      </c>
      <c r="D294" s="15" t="inlineStr">
        <is>
          <t>CNS</t>
        </is>
      </c>
      <c r="E294" s="15" t="inlineStr">
        <is>
          <t>Connaissance non disponible</t>
        </is>
      </c>
      <c r="F294" s="15" t="n">
        <v>0.1</v>
      </c>
      <c r="G294" s="15" t="n">
        <v>2</v>
      </c>
      <c r="H294" s="16" t="inlineStr">
        <is>
          <t>6e ch18 : 7 h / 2 = 3.5 h + 5e ch9 : 7 h / 1 = 7.0 h + 5e ch12 : 6 h / 1 = 6.0 h + 5e ch15 : 4 h / 1 = 4.0 h</t>
        </is>
      </c>
    </row>
    <row r="295" ht="23.85" customHeight="1" s="10">
      <c r="A295" s="17" t="inlineStr">
        <is>
          <t>G.SOL1</t>
        </is>
      </c>
      <c r="B295" s="17" t="inlineStr">
        <is>
          <t>Solides usuels</t>
        </is>
      </c>
      <c r="C295" s="17" t="n">
        <v>20.5</v>
      </c>
      <c r="D295" s="17" t="inlineStr">
        <is>
          <t>RED</t>
        </is>
      </c>
      <c r="E295" s="17" t="inlineStr">
        <is>
          <t>Defaut de redaction ou de justification</t>
        </is>
      </c>
      <c r="F295" s="17" t="n">
        <v>0.15</v>
      </c>
      <c r="G295" s="17" t="n">
        <v>3</v>
      </c>
      <c r="H295" s="18" t="inlineStr">
        <is>
          <t>6e ch18 : 7 h / 2 = 3.5 h + 5e ch9 : 7 h / 1 = 7.0 h + 5e ch12 : 6 h / 1 = 6.0 h + 5e ch15 : 4 h / 1 = 4.0 h</t>
        </is>
      </c>
    </row>
    <row r="296" ht="15" customHeight="1" s="10">
      <c r="A296" s="15" t="inlineStr">
        <is>
          <t>G.ABS</t>
        </is>
      </c>
      <c r="B296" s="15" t="inlineStr">
        <is>
          <t>Reperage sur une droite</t>
        </is>
      </c>
      <c r="C296" s="15" t="n">
        <v>3</v>
      </c>
      <c r="D296" s="15" t="inlineStr">
        <is>
          <t>PRQ</t>
        </is>
      </c>
      <c r="E296" s="15" t="inlineStr">
        <is>
          <t>Prerequis manquant</t>
        </is>
      </c>
      <c r="F296" s="15" t="n">
        <v>0.5</v>
      </c>
      <c r="G296" s="15" t="n">
        <v>1.5</v>
      </c>
      <c r="H296" s="16" t="inlineStr">
        <is>
          <t>4e ch3 : 3 h / 1 = 3.0 h</t>
        </is>
      </c>
    </row>
    <row r="297" ht="15" customHeight="1" s="10">
      <c r="A297" s="17" t="inlineStr">
        <is>
          <t>G.ABS</t>
        </is>
      </c>
      <c r="B297" s="17" t="inlineStr">
        <is>
          <t>Reperage sur une droite</t>
        </is>
      </c>
      <c r="C297" s="17" t="n">
        <v>3</v>
      </c>
      <c r="D297" s="17" t="inlineStr">
        <is>
          <t>CPT</t>
        </is>
      </c>
      <c r="E297" s="17" t="inlineStr">
        <is>
          <t>Erreur conceptuelle</t>
        </is>
      </c>
      <c r="F297" s="17" t="n">
        <v>0.35</v>
      </c>
      <c r="G297" s="17" t="n">
        <v>1</v>
      </c>
      <c r="H297" s="18" t="inlineStr">
        <is>
          <t>4e ch3 : 3 h / 1 = 3.0 h</t>
        </is>
      </c>
    </row>
    <row r="298" ht="15" customHeight="1" s="10">
      <c r="A298" s="15" t="inlineStr">
        <is>
          <t>G.ABS</t>
        </is>
      </c>
      <c r="B298" s="15" t="inlineStr">
        <is>
          <t>Reperage sur une droite</t>
        </is>
      </c>
      <c r="C298" s="15" t="n">
        <v>3</v>
      </c>
      <c r="D298" s="15" t="inlineStr">
        <is>
          <t>MOD</t>
        </is>
      </c>
      <c r="E298" s="15" t="inlineStr">
        <is>
          <t>Erreur de modelisation</t>
        </is>
      </c>
      <c r="F298" s="15" t="n">
        <v>0.25</v>
      </c>
      <c r="G298" s="15" t="n">
        <v>1</v>
      </c>
      <c r="H298" s="16" t="inlineStr">
        <is>
          <t>4e ch3 : 3 h / 1 = 3.0 h</t>
        </is>
      </c>
    </row>
    <row r="299" ht="15" customHeight="1" s="10">
      <c r="A299" s="17" t="inlineStr">
        <is>
          <t>G.ABS</t>
        </is>
      </c>
      <c r="B299" s="17" t="inlineStr">
        <is>
          <t>Reperage sur une droite</t>
        </is>
      </c>
      <c r="C299" s="17" t="n">
        <v>3</v>
      </c>
      <c r="D299" s="17" t="inlineStr">
        <is>
          <t>PRC</t>
        </is>
      </c>
      <c r="E299" s="17" t="inlineStr">
        <is>
          <t>Erreur procedurale</t>
        </is>
      </c>
      <c r="F299" s="17" t="n">
        <v>0.15</v>
      </c>
      <c r="G299" s="17" t="n">
        <v>0.5</v>
      </c>
      <c r="H299" s="18" t="inlineStr">
        <is>
          <t>4e ch3 : 3 h / 1 = 3.0 h</t>
        </is>
      </c>
    </row>
    <row r="300" ht="15" customHeight="1" s="10">
      <c r="A300" s="15" t="inlineStr">
        <is>
          <t>G.ABS</t>
        </is>
      </c>
      <c r="B300" s="15" t="inlineStr">
        <is>
          <t>Reperage sur une droite</t>
        </is>
      </c>
      <c r="C300" s="15" t="n">
        <v>3</v>
      </c>
      <c r="D300" s="15" t="inlineStr">
        <is>
          <t>CNS</t>
        </is>
      </c>
      <c r="E300" s="15" t="inlineStr">
        <is>
          <t>Connaissance non disponible</t>
        </is>
      </c>
      <c r="F300" s="15" t="n">
        <v>0.1</v>
      </c>
      <c r="G300" s="15" t="n">
        <v>0.5</v>
      </c>
      <c r="H300" s="16" t="inlineStr">
        <is>
          <t>4e ch3 : 3 h / 1 = 3.0 h</t>
        </is>
      </c>
    </row>
    <row r="301" ht="15" customHeight="1" s="10">
      <c r="A301" s="17" t="inlineStr">
        <is>
          <t>G.ABS</t>
        </is>
      </c>
      <c r="B301" s="17" t="inlineStr">
        <is>
          <t>Reperage sur une droite</t>
        </is>
      </c>
      <c r="C301" s="17" t="n">
        <v>3</v>
      </c>
      <c r="D301" s="17" t="inlineStr">
        <is>
          <t>RED</t>
        </is>
      </c>
      <c r="E301" s="17" t="inlineStr">
        <is>
          <t>Defaut de redaction ou de justification</t>
        </is>
      </c>
      <c r="F301" s="17" t="n">
        <v>0.15</v>
      </c>
      <c r="G301" s="17" t="n">
        <v>0.5</v>
      </c>
      <c r="H301" s="18" t="inlineStr">
        <is>
          <t>4e ch3 : 3 h / 1 = 3.0 h</t>
        </is>
      </c>
    </row>
    <row r="302" ht="15" customHeight="1" s="10">
      <c r="A302" s="15" t="inlineStr">
        <is>
          <t>G.REP</t>
        </is>
      </c>
      <c r="B302" s="15" t="inlineStr">
        <is>
          <t>Reperage dans le plan</t>
        </is>
      </c>
      <c r="C302" s="15" t="n">
        <v>5</v>
      </c>
      <c r="D302" s="15" t="inlineStr">
        <is>
          <t>PRQ</t>
        </is>
      </c>
      <c r="E302" s="15" t="inlineStr">
        <is>
          <t>Prerequis manquant</t>
        </is>
      </c>
      <c r="F302" s="15" t="n">
        <v>0.5</v>
      </c>
      <c r="G302" s="15" t="n">
        <v>2.5</v>
      </c>
      <c r="H302" s="16" t="inlineStr">
        <is>
          <t>6e ch17 : 3 h / 1 = 3.0 h + 4e ch4 : 2 h / 1 = 2.0 h</t>
        </is>
      </c>
    </row>
    <row r="303" ht="15" customHeight="1" s="10">
      <c r="A303" s="17" t="inlineStr">
        <is>
          <t>G.REP</t>
        </is>
      </c>
      <c r="B303" s="17" t="inlineStr">
        <is>
          <t>Reperage dans le plan</t>
        </is>
      </c>
      <c r="C303" s="17" t="n">
        <v>5</v>
      </c>
      <c r="D303" s="17" t="inlineStr">
        <is>
          <t>CPT</t>
        </is>
      </c>
      <c r="E303" s="17" t="inlineStr">
        <is>
          <t>Erreur conceptuelle</t>
        </is>
      </c>
      <c r="F303" s="17" t="n">
        <v>0.35</v>
      </c>
      <c r="G303" s="17" t="n">
        <v>2</v>
      </c>
      <c r="H303" s="18" t="inlineStr">
        <is>
          <t>6e ch17 : 3 h / 1 = 3.0 h + 4e ch4 : 2 h / 1 = 2.0 h</t>
        </is>
      </c>
    </row>
    <row r="304" ht="15" customHeight="1" s="10">
      <c r="A304" s="15" t="inlineStr">
        <is>
          <t>G.REP</t>
        </is>
      </c>
      <c r="B304" s="15" t="inlineStr">
        <is>
          <t>Reperage dans le plan</t>
        </is>
      </c>
      <c r="C304" s="15" t="n">
        <v>5</v>
      </c>
      <c r="D304" s="15" t="inlineStr">
        <is>
          <t>MOD</t>
        </is>
      </c>
      <c r="E304" s="15" t="inlineStr">
        <is>
          <t>Erreur de modelisation</t>
        </is>
      </c>
      <c r="F304" s="15" t="n">
        <v>0.25</v>
      </c>
      <c r="G304" s="15" t="n">
        <v>1</v>
      </c>
      <c r="H304" s="16" t="inlineStr">
        <is>
          <t>6e ch17 : 3 h / 1 = 3.0 h + 4e ch4 : 2 h / 1 = 2.0 h</t>
        </is>
      </c>
    </row>
    <row r="305" ht="15" customHeight="1" s="10">
      <c r="A305" s="17" t="inlineStr">
        <is>
          <t>G.REP</t>
        </is>
      </c>
      <c r="B305" s="17" t="inlineStr">
        <is>
          <t>Reperage dans le plan</t>
        </is>
      </c>
      <c r="C305" s="17" t="n">
        <v>5</v>
      </c>
      <c r="D305" s="17" t="inlineStr">
        <is>
          <t>PRC</t>
        </is>
      </c>
      <c r="E305" s="17" t="inlineStr">
        <is>
          <t>Erreur procedurale</t>
        </is>
      </c>
      <c r="F305" s="17" t="n">
        <v>0.15</v>
      </c>
      <c r="G305" s="17" t="n">
        <v>1</v>
      </c>
      <c r="H305" s="18" t="inlineStr">
        <is>
          <t>6e ch17 : 3 h / 1 = 3.0 h + 4e ch4 : 2 h / 1 = 2.0 h</t>
        </is>
      </c>
    </row>
    <row r="306" ht="15" customHeight="1" s="10">
      <c r="A306" s="15" t="inlineStr">
        <is>
          <t>G.REP</t>
        </is>
      </c>
      <c r="B306" s="15" t="inlineStr">
        <is>
          <t>Reperage dans le plan</t>
        </is>
      </c>
      <c r="C306" s="15" t="n">
        <v>5</v>
      </c>
      <c r="D306" s="15" t="inlineStr">
        <is>
          <t>CNS</t>
        </is>
      </c>
      <c r="E306" s="15" t="inlineStr">
        <is>
          <t>Connaissance non disponible</t>
        </is>
      </c>
      <c r="F306" s="15" t="n">
        <v>0.1</v>
      </c>
      <c r="G306" s="15" t="n">
        <v>0.5</v>
      </c>
      <c r="H306" s="16" t="inlineStr">
        <is>
          <t>6e ch17 : 3 h / 1 = 3.0 h + 4e ch4 : 2 h / 1 = 2.0 h</t>
        </is>
      </c>
    </row>
    <row r="307" ht="15" customHeight="1" s="10">
      <c r="A307" s="17" t="inlineStr">
        <is>
          <t>G.REP</t>
        </is>
      </c>
      <c r="B307" s="17" t="inlineStr">
        <is>
          <t>Reperage dans le plan</t>
        </is>
      </c>
      <c r="C307" s="17" t="n">
        <v>5</v>
      </c>
      <c r="D307" s="17" t="inlineStr">
        <is>
          <t>RED</t>
        </is>
      </c>
      <c r="E307" s="17" t="inlineStr">
        <is>
          <t>Defaut de redaction ou de justification</t>
        </is>
      </c>
      <c r="F307" s="17" t="n">
        <v>0.15</v>
      </c>
      <c r="G307" s="17" t="n">
        <v>1</v>
      </c>
      <c r="H307" s="18" t="inlineStr">
        <is>
          <t>6e ch17 : 3 h / 1 = 3.0 h + 4e ch4 : 2 h / 1 = 2.0 h</t>
        </is>
      </c>
    </row>
    <row r="308" ht="15" customHeight="1" s="10">
      <c r="A308" s="15" t="inlineStr">
        <is>
          <t>G.VEC</t>
        </is>
      </c>
      <c r="B308" s="15" t="inlineStr">
        <is>
          <t>Vecteurs : egalite et somme</t>
        </is>
      </c>
      <c r="C308" s="15" t="n">
        <v>11</v>
      </c>
      <c r="D308" s="15" t="inlineStr">
        <is>
          <t>PRQ</t>
        </is>
      </c>
      <c r="E308" s="15" t="inlineStr">
        <is>
          <t>Prerequis manquant</t>
        </is>
      </c>
      <c r="F308" s="15" t="n">
        <v>0.5</v>
      </c>
      <c r="G308" s="15" t="n">
        <v>4</v>
      </c>
      <c r="H308" s="16" t="inlineStr">
        <is>
          <t>4e ch9 : 3 h / 1 = 3.0 h + 4e ch11 : 8 h / 1 = 8.0 h</t>
        </is>
      </c>
    </row>
    <row r="309" ht="15" customHeight="1" s="10">
      <c r="A309" s="17" t="inlineStr">
        <is>
          <t>G.VEC</t>
        </is>
      </c>
      <c r="B309" s="17" t="inlineStr">
        <is>
          <t>Vecteurs : egalite et somme</t>
        </is>
      </c>
      <c r="C309" s="17" t="n">
        <v>11</v>
      </c>
      <c r="D309" s="17" t="inlineStr">
        <is>
          <t>CPT</t>
        </is>
      </c>
      <c r="E309" s="17" t="inlineStr">
        <is>
          <t>Erreur conceptuelle</t>
        </is>
      </c>
      <c r="F309" s="17" t="n">
        <v>0.35</v>
      </c>
      <c r="G309" s="17" t="n">
        <v>4</v>
      </c>
      <c r="H309" s="18" t="inlineStr">
        <is>
          <t>4e ch9 : 3 h / 1 = 3.0 h + 4e ch11 : 8 h / 1 = 8.0 h</t>
        </is>
      </c>
    </row>
    <row r="310" ht="15" customHeight="1" s="10">
      <c r="A310" s="15" t="inlineStr">
        <is>
          <t>G.VEC</t>
        </is>
      </c>
      <c r="B310" s="15" t="inlineStr">
        <is>
          <t>Vecteurs : egalite et somme</t>
        </is>
      </c>
      <c r="C310" s="15" t="n">
        <v>11</v>
      </c>
      <c r="D310" s="15" t="inlineStr">
        <is>
          <t>MOD</t>
        </is>
      </c>
      <c r="E310" s="15" t="inlineStr">
        <is>
          <t>Erreur de modelisation</t>
        </is>
      </c>
      <c r="F310" s="15" t="n">
        <v>0.25</v>
      </c>
      <c r="G310" s="15" t="n">
        <v>3</v>
      </c>
      <c r="H310" s="16" t="inlineStr">
        <is>
          <t>4e ch9 : 3 h / 1 = 3.0 h + 4e ch11 : 8 h / 1 = 8.0 h</t>
        </is>
      </c>
    </row>
    <row r="311" ht="15" customHeight="1" s="10">
      <c r="A311" s="17" t="inlineStr">
        <is>
          <t>G.VEC</t>
        </is>
      </c>
      <c r="B311" s="17" t="inlineStr">
        <is>
          <t>Vecteurs : egalite et somme</t>
        </is>
      </c>
      <c r="C311" s="17" t="n">
        <v>11</v>
      </c>
      <c r="D311" s="17" t="inlineStr">
        <is>
          <t>PRC</t>
        </is>
      </c>
      <c r="E311" s="17" t="inlineStr">
        <is>
          <t>Erreur procedurale</t>
        </is>
      </c>
      <c r="F311" s="17" t="n">
        <v>0.15</v>
      </c>
      <c r="G311" s="17" t="n">
        <v>1.5</v>
      </c>
      <c r="H311" s="18" t="inlineStr">
        <is>
          <t>4e ch9 : 3 h / 1 = 3.0 h + 4e ch11 : 8 h / 1 = 8.0 h</t>
        </is>
      </c>
    </row>
    <row r="312" ht="15" customHeight="1" s="10">
      <c r="A312" s="15" t="inlineStr">
        <is>
          <t>G.VEC</t>
        </is>
      </c>
      <c r="B312" s="15" t="inlineStr">
        <is>
          <t>Vecteurs : egalite et somme</t>
        </is>
      </c>
      <c r="C312" s="15" t="n">
        <v>11</v>
      </c>
      <c r="D312" s="15" t="inlineStr">
        <is>
          <t>CNS</t>
        </is>
      </c>
      <c r="E312" s="15" t="inlineStr">
        <is>
          <t>Connaissance non disponible</t>
        </is>
      </c>
      <c r="F312" s="15" t="n">
        <v>0.1</v>
      </c>
      <c r="G312" s="15" t="n">
        <v>1</v>
      </c>
      <c r="H312" s="16" t="inlineStr">
        <is>
          <t>4e ch9 : 3 h / 1 = 3.0 h + 4e ch11 : 8 h / 1 = 8.0 h</t>
        </is>
      </c>
    </row>
    <row r="313" ht="15" customHeight="1" s="10">
      <c r="A313" s="17" t="inlineStr">
        <is>
          <t>G.VEC</t>
        </is>
      </c>
      <c r="B313" s="17" t="inlineStr">
        <is>
          <t>Vecteurs : egalite et somme</t>
        </is>
      </c>
      <c r="C313" s="17" t="n">
        <v>11</v>
      </c>
      <c r="D313" s="17" t="inlineStr">
        <is>
          <t>RED</t>
        </is>
      </c>
      <c r="E313" s="17" t="inlineStr">
        <is>
          <t>Defaut de redaction ou de justification</t>
        </is>
      </c>
      <c r="F313" s="17" t="n">
        <v>0.15</v>
      </c>
      <c r="G313" s="17" t="n">
        <v>1.5</v>
      </c>
      <c r="H313" s="18" t="inlineStr">
        <is>
          <t>4e ch9 : 3 h / 1 = 3.0 h + 4e ch11 : 8 h / 1 = 8.0 h</t>
        </is>
      </c>
    </row>
    <row r="314" ht="15" customHeight="1" s="10">
      <c r="A314" s="15" t="inlineStr">
        <is>
          <t>G.PROJ</t>
        </is>
      </c>
      <c r="B314" s="15" t="inlineStr">
        <is>
          <t>Projection et theoreme des milieux</t>
        </is>
      </c>
      <c r="C314" s="15" t="n">
        <v>10</v>
      </c>
      <c r="D314" s="15" t="inlineStr">
        <is>
          <t>PRQ</t>
        </is>
      </c>
      <c r="E314" s="15" t="inlineStr">
        <is>
          <t>Prerequis manquant</t>
        </is>
      </c>
      <c r="F314" s="15" t="n">
        <v>0.5</v>
      </c>
      <c r="G314" s="15" t="n">
        <v>4</v>
      </c>
      <c r="H314" s="16" t="inlineStr">
        <is>
          <t>4e ch6 : 10 h / 1 = 10.0 h</t>
        </is>
      </c>
    </row>
    <row r="315" ht="15" customHeight="1" s="10">
      <c r="A315" s="17" t="inlineStr">
        <is>
          <t>G.PROJ</t>
        </is>
      </c>
      <c r="B315" s="17" t="inlineStr">
        <is>
          <t>Projection et theoreme des milieux</t>
        </is>
      </c>
      <c r="C315" s="17" t="n">
        <v>10</v>
      </c>
      <c r="D315" s="17" t="inlineStr">
        <is>
          <t>CPT</t>
        </is>
      </c>
      <c r="E315" s="17" t="inlineStr">
        <is>
          <t>Erreur conceptuelle</t>
        </is>
      </c>
      <c r="F315" s="17" t="n">
        <v>0.35</v>
      </c>
      <c r="G315" s="17" t="n">
        <v>3.5</v>
      </c>
      <c r="H315" s="18" t="inlineStr">
        <is>
          <t>4e ch6 : 10 h / 1 = 10.0 h</t>
        </is>
      </c>
    </row>
    <row r="316" ht="15" customHeight="1" s="10">
      <c r="A316" s="15" t="inlineStr">
        <is>
          <t>G.PROJ</t>
        </is>
      </c>
      <c r="B316" s="15" t="inlineStr">
        <is>
          <t>Projection et theoreme des milieux</t>
        </is>
      </c>
      <c r="C316" s="15" t="n">
        <v>10</v>
      </c>
      <c r="D316" s="15" t="inlineStr">
        <is>
          <t>MOD</t>
        </is>
      </c>
      <c r="E316" s="15" t="inlineStr">
        <is>
          <t>Erreur de modelisation</t>
        </is>
      </c>
      <c r="F316" s="15" t="n">
        <v>0.25</v>
      </c>
      <c r="G316" s="15" t="n">
        <v>2.5</v>
      </c>
      <c r="H316" s="16" t="inlineStr">
        <is>
          <t>4e ch6 : 10 h / 1 = 10.0 h</t>
        </is>
      </c>
    </row>
    <row r="317" ht="15" customHeight="1" s="10">
      <c r="A317" s="17" t="inlineStr">
        <is>
          <t>G.PROJ</t>
        </is>
      </c>
      <c r="B317" s="17" t="inlineStr">
        <is>
          <t>Projection et theoreme des milieux</t>
        </is>
      </c>
      <c r="C317" s="17" t="n">
        <v>10</v>
      </c>
      <c r="D317" s="17" t="inlineStr">
        <is>
          <t>PRC</t>
        </is>
      </c>
      <c r="E317" s="17" t="inlineStr">
        <is>
          <t>Erreur procedurale</t>
        </is>
      </c>
      <c r="F317" s="17" t="n">
        <v>0.15</v>
      </c>
      <c r="G317" s="17" t="n">
        <v>1.5</v>
      </c>
      <c r="H317" s="18" t="inlineStr">
        <is>
          <t>4e ch6 : 10 h / 1 = 10.0 h</t>
        </is>
      </c>
    </row>
    <row r="318" ht="15" customHeight="1" s="10">
      <c r="A318" s="15" t="inlineStr">
        <is>
          <t>G.PROJ</t>
        </is>
      </c>
      <c r="B318" s="15" t="inlineStr">
        <is>
          <t>Projection et theoreme des milieux</t>
        </is>
      </c>
      <c r="C318" s="15" t="n">
        <v>10</v>
      </c>
      <c r="D318" s="15" t="inlineStr">
        <is>
          <t>CNS</t>
        </is>
      </c>
      <c r="E318" s="15" t="inlineStr">
        <is>
          <t>Connaissance non disponible</t>
        </is>
      </c>
      <c r="F318" s="15" t="n">
        <v>0.1</v>
      </c>
      <c r="G318" s="15" t="n">
        <v>1</v>
      </c>
      <c r="H318" s="16" t="inlineStr">
        <is>
          <t>4e ch6 : 10 h / 1 = 10.0 h</t>
        </is>
      </c>
    </row>
    <row r="319" ht="15" customHeight="1" s="10">
      <c r="A319" s="17" t="inlineStr">
        <is>
          <t>G.PROJ</t>
        </is>
      </c>
      <c r="B319" s="17" t="inlineStr">
        <is>
          <t>Projection et theoreme des milieux</t>
        </is>
      </c>
      <c r="C319" s="17" t="n">
        <v>10</v>
      </c>
      <c r="D319" s="17" t="inlineStr">
        <is>
          <t>RED</t>
        </is>
      </c>
      <c r="E319" s="17" t="inlineStr">
        <is>
          <t>Defaut de redaction ou de justification</t>
        </is>
      </c>
      <c r="F319" s="17" t="n">
        <v>0.15</v>
      </c>
      <c r="G319" s="17" t="n">
        <v>1.5</v>
      </c>
      <c r="H319" s="18" t="inlineStr">
        <is>
          <t>4e ch6 : 10 h / 1 = 10.0 h</t>
        </is>
      </c>
    </row>
    <row r="320" ht="15" customHeight="1" s="10">
      <c r="A320" s="15" t="inlineStr">
        <is>
          <t>G.TRANS</t>
        </is>
      </c>
      <c r="B320" s="15" t="inlineStr">
        <is>
          <t>Translations et images de figures</t>
        </is>
      </c>
      <c r="C320" s="15" t="n">
        <v>5</v>
      </c>
      <c r="D320" s="15" t="inlineStr">
        <is>
          <t>PRQ</t>
        </is>
      </c>
      <c r="E320" s="15" t="inlineStr">
        <is>
          <t>Prerequis manquant</t>
        </is>
      </c>
      <c r="F320" s="15" t="n">
        <v>0.5</v>
      </c>
      <c r="G320" s="15" t="n">
        <v>2.5</v>
      </c>
      <c r="H320" s="16" t="inlineStr">
        <is>
          <t>4e ch14 : 5 h / 1 = 5.0 h</t>
        </is>
      </c>
    </row>
    <row r="321" ht="15" customHeight="1" s="10">
      <c r="A321" s="17" t="inlineStr">
        <is>
          <t>G.TRANS</t>
        </is>
      </c>
      <c r="B321" s="17" t="inlineStr">
        <is>
          <t>Translations et images de figures</t>
        </is>
      </c>
      <c r="C321" s="17" t="n">
        <v>5</v>
      </c>
      <c r="D321" s="17" t="inlineStr">
        <is>
          <t>CPT</t>
        </is>
      </c>
      <c r="E321" s="17" t="inlineStr">
        <is>
          <t>Erreur conceptuelle</t>
        </is>
      </c>
      <c r="F321" s="17" t="n">
        <v>0.35</v>
      </c>
      <c r="G321" s="17" t="n">
        <v>2</v>
      </c>
      <c r="H321" s="18" t="inlineStr">
        <is>
          <t>4e ch14 : 5 h / 1 = 5.0 h</t>
        </is>
      </c>
    </row>
    <row r="322" ht="15" customHeight="1" s="10">
      <c r="A322" s="15" t="inlineStr">
        <is>
          <t>G.TRANS</t>
        </is>
      </c>
      <c r="B322" s="15" t="inlineStr">
        <is>
          <t>Translations et images de figures</t>
        </is>
      </c>
      <c r="C322" s="15" t="n">
        <v>5</v>
      </c>
      <c r="D322" s="15" t="inlineStr">
        <is>
          <t>MOD</t>
        </is>
      </c>
      <c r="E322" s="15" t="inlineStr">
        <is>
          <t>Erreur de modelisation</t>
        </is>
      </c>
      <c r="F322" s="15" t="n">
        <v>0.25</v>
      </c>
      <c r="G322" s="15" t="n">
        <v>1</v>
      </c>
      <c r="H322" s="16" t="inlineStr">
        <is>
          <t>4e ch14 : 5 h / 1 = 5.0 h</t>
        </is>
      </c>
    </row>
    <row r="323" ht="15" customHeight="1" s="10">
      <c r="A323" s="17" t="inlineStr">
        <is>
          <t>G.TRANS</t>
        </is>
      </c>
      <c r="B323" s="17" t="inlineStr">
        <is>
          <t>Translations et images de figures</t>
        </is>
      </c>
      <c r="C323" s="17" t="n">
        <v>5</v>
      </c>
      <c r="D323" s="17" t="inlineStr">
        <is>
          <t>PRC</t>
        </is>
      </c>
      <c r="E323" s="17" t="inlineStr">
        <is>
          <t>Erreur procedurale</t>
        </is>
      </c>
      <c r="F323" s="17" t="n">
        <v>0.15</v>
      </c>
      <c r="G323" s="17" t="n">
        <v>1</v>
      </c>
      <c r="H323" s="18" t="inlineStr">
        <is>
          <t>4e ch14 : 5 h / 1 = 5.0 h</t>
        </is>
      </c>
    </row>
    <row r="324" ht="15" customHeight="1" s="10">
      <c r="A324" s="15" t="inlineStr">
        <is>
          <t>G.TRANS</t>
        </is>
      </c>
      <c r="B324" s="15" t="inlineStr">
        <is>
          <t>Translations et images de figures</t>
        </is>
      </c>
      <c r="C324" s="15" t="n">
        <v>5</v>
      </c>
      <c r="D324" s="15" t="inlineStr">
        <is>
          <t>CNS</t>
        </is>
      </c>
      <c r="E324" s="15" t="inlineStr">
        <is>
          <t>Connaissance non disponible</t>
        </is>
      </c>
      <c r="F324" s="15" t="n">
        <v>0.1</v>
      </c>
      <c r="G324" s="15" t="n">
        <v>0.5</v>
      </c>
      <c r="H324" s="16" t="inlineStr">
        <is>
          <t>4e ch14 : 5 h / 1 = 5.0 h</t>
        </is>
      </c>
    </row>
    <row r="325" ht="15" customHeight="1" s="10">
      <c r="A325" s="17" t="inlineStr">
        <is>
          <t>G.TRANS</t>
        </is>
      </c>
      <c r="B325" s="17" t="inlineStr">
        <is>
          <t>Translations et images de figures</t>
        </is>
      </c>
      <c r="C325" s="17" t="n">
        <v>5</v>
      </c>
      <c r="D325" s="17" t="inlineStr">
        <is>
          <t>RED</t>
        </is>
      </c>
      <c r="E325" s="17" t="inlineStr">
        <is>
          <t>Defaut de redaction ou de justification</t>
        </is>
      </c>
      <c r="F325" s="17" t="n">
        <v>0.15</v>
      </c>
      <c r="G325" s="17" t="n">
        <v>1</v>
      </c>
      <c r="H325" s="18" t="inlineStr">
        <is>
          <t>4e ch14 : 5 h / 1 = 5.0 h</t>
        </is>
      </c>
    </row>
    <row r="326" ht="15" customHeight="1" s="10">
      <c r="A326" s="15" t="inlineStr">
        <is>
          <t>G.POLY</t>
        </is>
      </c>
      <c r="B326" s="15" t="inlineStr">
        <is>
          <t>Polygones et sections de solides</t>
        </is>
      </c>
      <c r="C326" s="15" t="n">
        <v>8</v>
      </c>
      <c r="D326" s="15" t="inlineStr">
        <is>
          <t>PRQ</t>
        </is>
      </c>
      <c r="E326" s="15" t="inlineStr">
        <is>
          <t>Prerequis manquant</t>
        </is>
      </c>
      <c r="F326" s="15" t="n">
        <v>0.5</v>
      </c>
      <c r="G326" s="15" t="n">
        <v>4</v>
      </c>
      <c r="H326" s="16" t="inlineStr">
        <is>
          <t>4e ch7 : 4 h / 1 = 4.0 h + 4e ch18 : 4 h / 1 = 4.0 h</t>
        </is>
      </c>
    </row>
    <row r="327" ht="15" customHeight="1" s="10">
      <c r="A327" s="17" t="inlineStr">
        <is>
          <t>G.POLY</t>
        </is>
      </c>
      <c r="B327" s="17" t="inlineStr">
        <is>
          <t>Polygones et sections de solides</t>
        </is>
      </c>
      <c r="C327" s="17" t="n">
        <v>8</v>
      </c>
      <c r="D327" s="17" t="inlineStr">
        <is>
          <t>CPT</t>
        </is>
      </c>
      <c r="E327" s="17" t="inlineStr">
        <is>
          <t>Erreur conceptuelle</t>
        </is>
      </c>
      <c r="F327" s="17" t="n">
        <v>0.35</v>
      </c>
      <c r="G327" s="17" t="n">
        <v>3</v>
      </c>
      <c r="H327" s="18" t="inlineStr">
        <is>
          <t>4e ch7 : 4 h / 1 = 4.0 h + 4e ch18 : 4 h / 1 = 4.0 h</t>
        </is>
      </c>
    </row>
    <row r="328" ht="15" customHeight="1" s="10">
      <c r="A328" s="15" t="inlineStr">
        <is>
          <t>G.POLY</t>
        </is>
      </c>
      <c r="B328" s="15" t="inlineStr">
        <is>
          <t>Polygones et sections de solides</t>
        </is>
      </c>
      <c r="C328" s="15" t="n">
        <v>8</v>
      </c>
      <c r="D328" s="15" t="inlineStr">
        <is>
          <t>MOD</t>
        </is>
      </c>
      <c r="E328" s="15" t="inlineStr">
        <is>
          <t>Erreur de modelisation</t>
        </is>
      </c>
      <c r="F328" s="15" t="n">
        <v>0.25</v>
      </c>
      <c r="G328" s="15" t="n">
        <v>2</v>
      </c>
      <c r="H328" s="16" t="inlineStr">
        <is>
          <t>4e ch7 : 4 h / 1 = 4.0 h + 4e ch18 : 4 h / 1 = 4.0 h</t>
        </is>
      </c>
    </row>
    <row r="329" ht="15" customHeight="1" s="10">
      <c r="A329" s="17" t="inlineStr">
        <is>
          <t>G.POLY</t>
        </is>
      </c>
      <c r="B329" s="17" t="inlineStr">
        <is>
          <t>Polygones et sections de solides</t>
        </is>
      </c>
      <c r="C329" s="17" t="n">
        <v>8</v>
      </c>
      <c r="D329" s="17" t="inlineStr">
        <is>
          <t>PRC</t>
        </is>
      </c>
      <c r="E329" s="17" t="inlineStr">
        <is>
          <t>Erreur procedurale</t>
        </is>
      </c>
      <c r="F329" s="17" t="n">
        <v>0.15</v>
      </c>
      <c r="G329" s="17" t="n">
        <v>1</v>
      </c>
      <c r="H329" s="18" t="inlineStr">
        <is>
          <t>4e ch7 : 4 h / 1 = 4.0 h + 4e ch18 : 4 h / 1 = 4.0 h</t>
        </is>
      </c>
    </row>
    <row r="330" ht="15" customHeight="1" s="10">
      <c r="A330" s="15" t="inlineStr">
        <is>
          <t>G.POLY</t>
        </is>
      </c>
      <c r="B330" s="15" t="inlineStr">
        <is>
          <t>Polygones et sections de solides</t>
        </is>
      </c>
      <c r="C330" s="15" t="n">
        <v>8</v>
      </c>
      <c r="D330" s="15" t="inlineStr">
        <is>
          <t>CNS</t>
        </is>
      </c>
      <c r="E330" s="15" t="inlineStr">
        <is>
          <t>Connaissance non disponible</t>
        </is>
      </c>
      <c r="F330" s="15" t="n">
        <v>0.1</v>
      </c>
      <c r="G330" s="15" t="n">
        <v>1</v>
      </c>
      <c r="H330" s="16" t="inlineStr">
        <is>
          <t>4e ch7 : 4 h / 1 = 4.0 h + 4e ch18 : 4 h / 1 = 4.0 h</t>
        </is>
      </c>
    </row>
    <row r="331" ht="15" customHeight="1" s="10">
      <c r="A331" s="17" t="inlineStr">
        <is>
          <t>G.POLY</t>
        </is>
      </c>
      <c r="B331" s="17" t="inlineStr">
        <is>
          <t>Polygones et sections de solides</t>
        </is>
      </c>
      <c r="C331" s="17" t="n">
        <v>8</v>
      </c>
      <c r="D331" s="17" t="inlineStr">
        <is>
          <t>RED</t>
        </is>
      </c>
      <c r="E331" s="17" t="inlineStr">
        <is>
          <t>Defaut de redaction ou de justification</t>
        </is>
      </c>
      <c r="F331" s="17" t="n">
        <v>0.15</v>
      </c>
      <c r="G331" s="17" t="n">
        <v>1</v>
      </c>
      <c r="H331" s="18" t="inlineStr">
        <is>
          <t>4e ch7 : 4 h / 1 = 4.0 h + 4e ch18 : 4 h / 1 = 4.0 h</t>
        </is>
      </c>
    </row>
    <row r="332" ht="15" customHeight="1" s="10">
      <c r="A332" s="15" t="inlineStr">
        <is>
          <t>G.RON</t>
        </is>
      </c>
      <c r="B332" s="15" t="inlineStr">
        <is>
          <t>Repere orthonormal : distance et milieu</t>
        </is>
      </c>
      <c r="C332" s="15" t="n">
        <v>4</v>
      </c>
      <c r="D332" s="15" t="inlineStr">
        <is>
          <t>PRQ</t>
        </is>
      </c>
      <c r="E332" s="15" t="inlineStr">
        <is>
          <t>Prerequis manquant</t>
        </is>
      </c>
      <c r="F332" s="15" t="n">
        <v>0.5</v>
      </c>
      <c r="G332" s="15" t="n">
        <v>2</v>
      </c>
      <c r="H332" s="16" t="inlineStr">
        <is>
          <t>3e ch10 : 4 h / 1 = 4.0 h</t>
        </is>
      </c>
    </row>
    <row r="333" ht="15" customHeight="1" s="10">
      <c r="A333" s="17" t="inlineStr">
        <is>
          <t>G.RON</t>
        </is>
      </c>
      <c r="B333" s="17" t="inlineStr">
        <is>
          <t>Repere orthonormal : distance et milieu</t>
        </is>
      </c>
      <c r="C333" s="17" t="n">
        <v>4</v>
      </c>
      <c r="D333" s="17" t="inlineStr">
        <is>
          <t>CPT</t>
        </is>
      </c>
      <c r="E333" s="17" t="inlineStr">
        <is>
          <t>Erreur conceptuelle</t>
        </is>
      </c>
      <c r="F333" s="17" t="n">
        <v>0.35</v>
      </c>
      <c r="G333" s="17" t="n">
        <v>1.5</v>
      </c>
      <c r="H333" s="18" t="inlineStr">
        <is>
          <t>3e ch10 : 4 h / 1 = 4.0 h</t>
        </is>
      </c>
    </row>
    <row r="334" ht="15" customHeight="1" s="10">
      <c r="A334" s="15" t="inlineStr">
        <is>
          <t>G.RON</t>
        </is>
      </c>
      <c r="B334" s="15" t="inlineStr">
        <is>
          <t>Repere orthonormal : distance et milieu</t>
        </is>
      </c>
      <c r="C334" s="15" t="n">
        <v>4</v>
      </c>
      <c r="D334" s="15" t="inlineStr">
        <is>
          <t>MOD</t>
        </is>
      </c>
      <c r="E334" s="15" t="inlineStr">
        <is>
          <t>Erreur de modelisation</t>
        </is>
      </c>
      <c r="F334" s="15" t="n">
        <v>0.25</v>
      </c>
      <c r="G334" s="15" t="n">
        <v>1</v>
      </c>
      <c r="H334" s="16" t="inlineStr">
        <is>
          <t>3e ch10 : 4 h / 1 = 4.0 h</t>
        </is>
      </c>
    </row>
    <row r="335" ht="15" customHeight="1" s="10">
      <c r="A335" s="17" t="inlineStr">
        <is>
          <t>G.RON</t>
        </is>
      </c>
      <c r="B335" s="17" t="inlineStr">
        <is>
          <t>Repere orthonormal : distance et milieu</t>
        </is>
      </c>
      <c r="C335" s="17" t="n">
        <v>4</v>
      </c>
      <c r="D335" s="17" t="inlineStr">
        <is>
          <t>PRC</t>
        </is>
      </c>
      <c r="E335" s="17" t="inlineStr">
        <is>
          <t>Erreur procedurale</t>
        </is>
      </c>
      <c r="F335" s="17" t="n">
        <v>0.15</v>
      </c>
      <c r="G335" s="17" t="n">
        <v>0.5</v>
      </c>
      <c r="H335" s="18" t="inlineStr">
        <is>
          <t>3e ch10 : 4 h / 1 = 4.0 h</t>
        </is>
      </c>
    </row>
    <row r="336" ht="15" customHeight="1" s="10">
      <c r="A336" s="15" t="inlineStr">
        <is>
          <t>G.RON</t>
        </is>
      </c>
      <c r="B336" s="15" t="inlineStr">
        <is>
          <t>Repere orthonormal : distance et milieu</t>
        </is>
      </c>
      <c r="C336" s="15" t="n">
        <v>4</v>
      </c>
      <c r="D336" s="15" t="inlineStr">
        <is>
          <t>CNS</t>
        </is>
      </c>
      <c r="E336" s="15" t="inlineStr">
        <is>
          <t>Connaissance non disponible</t>
        </is>
      </c>
      <c r="F336" s="15" t="n">
        <v>0.1</v>
      </c>
      <c r="G336" s="15" t="n">
        <v>0.5</v>
      </c>
      <c r="H336" s="16" t="inlineStr">
        <is>
          <t>3e ch10 : 4 h / 1 = 4.0 h</t>
        </is>
      </c>
    </row>
    <row r="337" ht="15" customHeight="1" s="10">
      <c r="A337" s="17" t="inlineStr">
        <is>
          <t>G.RON</t>
        </is>
      </c>
      <c r="B337" s="17" t="inlineStr">
        <is>
          <t>Repere orthonormal : distance et milieu</t>
        </is>
      </c>
      <c r="C337" s="17" t="n">
        <v>4</v>
      </c>
      <c r="D337" s="17" t="inlineStr">
        <is>
          <t>RED</t>
        </is>
      </c>
      <c r="E337" s="17" t="inlineStr">
        <is>
          <t>Defaut de redaction ou de justification</t>
        </is>
      </c>
      <c r="F337" s="17" t="n">
        <v>0.15</v>
      </c>
      <c r="G337" s="17" t="n">
        <v>0.5</v>
      </c>
      <c r="H337" s="18" t="inlineStr">
        <is>
          <t>3e ch10 : 4 h / 1 = 4.0 h</t>
        </is>
      </c>
    </row>
    <row r="338" ht="15" customHeight="1" s="10">
      <c r="A338" s="15" t="inlineStr">
        <is>
          <t>G.PYT</t>
        </is>
      </c>
      <c r="B338" s="15" t="inlineStr">
        <is>
          <t>Theoreme de Pythagore</t>
        </is>
      </c>
      <c r="C338" s="15" t="n">
        <v>7</v>
      </c>
      <c r="D338" s="15" t="inlineStr">
        <is>
          <t>PRQ</t>
        </is>
      </c>
      <c r="E338" s="15" t="inlineStr">
        <is>
          <t>Prerequis manquant</t>
        </is>
      </c>
      <c r="F338" s="15" t="n">
        <v>0.5</v>
      </c>
      <c r="G338" s="15" t="n">
        <v>3.5</v>
      </c>
      <c r="H338" s="16" t="inlineStr">
        <is>
          <t>3e ch6 : 7 h / 1 = 7.0 h</t>
        </is>
      </c>
    </row>
    <row r="339" ht="15" customHeight="1" s="10">
      <c r="A339" s="17" t="inlineStr">
        <is>
          <t>G.PYT</t>
        </is>
      </c>
      <c r="B339" s="17" t="inlineStr">
        <is>
          <t>Theoreme de Pythagore</t>
        </is>
      </c>
      <c r="C339" s="17" t="n">
        <v>7</v>
      </c>
      <c r="D339" s="17" t="inlineStr">
        <is>
          <t>CPT</t>
        </is>
      </c>
      <c r="E339" s="17" t="inlineStr">
        <is>
          <t>Erreur conceptuelle</t>
        </is>
      </c>
      <c r="F339" s="17" t="n">
        <v>0.35</v>
      </c>
      <c r="G339" s="17" t="n">
        <v>2.5</v>
      </c>
      <c r="H339" s="18" t="inlineStr">
        <is>
          <t>3e ch6 : 7 h / 1 = 7.0 h</t>
        </is>
      </c>
    </row>
    <row r="340" ht="15" customHeight="1" s="10">
      <c r="A340" s="15" t="inlineStr">
        <is>
          <t>G.PYT</t>
        </is>
      </c>
      <c r="B340" s="15" t="inlineStr">
        <is>
          <t>Theoreme de Pythagore</t>
        </is>
      </c>
      <c r="C340" s="15" t="n">
        <v>7</v>
      </c>
      <c r="D340" s="15" t="inlineStr">
        <is>
          <t>MOD</t>
        </is>
      </c>
      <c r="E340" s="15" t="inlineStr">
        <is>
          <t>Erreur de modelisation</t>
        </is>
      </c>
      <c r="F340" s="15" t="n">
        <v>0.25</v>
      </c>
      <c r="G340" s="15" t="n">
        <v>2</v>
      </c>
      <c r="H340" s="16" t="inlineStr">
        <is>
          <t>3e ch6 : 7 h / 1 = 7.0 h</t>
        </is>
      </c>
    </row>
    <row r="341" ht="15" customHeight="1" s="10">
      <c r="A341" s="17" t="inlineStr">
        <is>
          <t>G.PYT</t>
        </is>
      </c>
      <c r="B341" s="17" t="inlineStr">
        <is>
          <t>Theoreme de Pythagore</t>
        </is>
      </c>
      <c r="C341" s="17" t="n">
        <v>7</v>
      </c>
      <c r="D341" s="17" t="inlineStr">
        <is>
          <t>PRC</t>
        </is>
      </c>
      <c r="E341" s="17" t="inlineStr">
        <is>
          <t>Erreur procedurale</t>
        </is>
      </c>
      <c r="F341" s="17" t="n">
        <v>0.15</v>
      </c>
      <c r="G341" s="17" t="n">
        <v>1</v>
      </c>
      <c r="H341" s="18" t="inlineStr">
        <is>
          <t>3e ch6 : 7 h / 1 = 7.0 h</t>
        </is>
      </c>
    </row>
    <row r="342" ht="15" customHeight="1" s="10">
      <c r="A342" s="15" t="inlineStr">
        <is>
          <t>G.PYT</t>
        </is>
      </c>
      <c r="B342" s="15" t="inlineStr">
        <is>
          <t>Theoreme de Pythagore</t>
        </is>
      </c>
      <c r="C342" s="15" t="n">
        <v>7</v>
      </c>
      <c r="D342" s="15" t="inlineStr">
        <is>
          <t>CNS</t>
        </is>
      </c>
      <c r="E342" s="15" t="inlineStr">
        <is>
          <t>Connaissance non disponible</t>
        </is>
      </c>
      <c r="F342" s="15" t="n">
        <v>0.1</v>
      </c>
      <c r="G342" s="15" t="n">
        <v>0.5</v>
      </c>
      <c r="H342" s="16" t="inlineStr">
        <is>
          <t>3e ch6 : 7 h / 1 = 7.0 h</t>
        </is>
      </c>
    </row>
    <row r="343" ht="15" customHeight="1" s="10">
      <c r="A343" s="17" t="inlineStr">
        <is>
          <t>G.PYT</t>
        </is>
      </c>
      <c r="B343" s="17" t="inlineStr">
        <is>
          <t>Theoreme de Pythagore</t>
        </is>
      </c>
      <c r="C343" s="17" t="n">
        <v>7</v>
      </c>
      <c r="D343" s="17" t="inlineStr">
        <is>
          <t>RED</t>
        </is>
      </c>
      <c r="E343" s="17" t="inlineStr">
        <is>
          <t>Defaut de redaction ou de justification</t>
        </is>
      </c>
      <c r="F343" s="17" t="n">
        <v>0.15</v>
      </c>
      <c r="G343" s="17" t="n">
        <v>1</v>
      </c>
      <c r="H343" s="18" t="inlineStr">
        <is>
          <t>3e ch6 : 7 h / 1 = 7.0 h</t>
        </is>
      </c>
    </row>
    <row r="344" ht="15" customHeight="1" s="10">
      <c r="A344" s="15" t="inlineStr">
        <is>
          <t>G.THA</t>
        </is>
      </c>
      <c r="B344" s="15" t="inlineStr">
        <is>
          <t>Theoreme de Thales</t>
        </is>
      </c>
      <c r="C344" s="15" t="n">
        <v>6</v>
      </c>
      <c r="D344" s="15" t="inlineStr">
        <is>
          <t>PRQ</t>
        </is>
      </c>
      <c r="E344" s="15" t="inlineStr">
        <is>
          <t>Prerequis manquant</t>
        </is>
      </c>
      <c r="F344" s="15" t="n">
        <v>0.5</v>
      </c>
      <c r="G344" s="15" t="n">
        <v>3</v>
      </c>
      <c r="H344" s="16" t="inlineStr">
        <is>
          <t>3e ch8 : 6 h / 1 = 6.0 h</t>
        </is>
      </c>
    </row>
    <row r="345" ht="15" customHeight="1" s="10">
      <c r="A345" s="17" t="inlineStr">
        <is>
          <t>G.THA</t>
        </is>
      </c>
      <c r="B345" s="17" t="inlineStr">
        <is>
          <t>Theoreme de Thales</t>
        </is>
      </c>
      <c r="C345" s="17" t="n">
        <v>6</v>
      </c>
      <c r="D345" s="17" t="inlineStr">
        <is>
          <t>CPT</t>
        </is>
      </c>
      <c r="E345" s="17" t="inlineStr">
        <is>
          <t>Erreur conceptuelle</t>
        </is>
      </c>
      <c r="F345" s="17" t="n">
        <v>0.35</v>
      </c>
      <c r="G345" s="17" t="n">
        <v>2</v>
      </c>
      <c r="H345" s="18" t="inlineStr">
        <is>
          <t>3e ch8 : 6 h / 1 = 6.0 h</t>
        </is>
      </c>
    </row>
    <row r="346" ht="15" customHeight="1" s="10">
      <c r="A346" s="15" t="inlineStr">
        <is>
          <t>G.THA</t>
        </is>
      </c>
      <c r="B346" s="15" t="inlineStr">
        <is>
          <t>Theoreme de Thales</t>
        </is>
      </c>
      <c r="C346" s="15" t="n">
        <v>6</v>
      </c>
      <c r="D346" s="15" t="inlineStr">
        <is>
          <t>MOD</t>
        </is>
      </c>
      <c r="E346" s="15" t="inlineStr">
        <is>
          <t>Erreur de modelisation</t>
        </is>
      </c>
      <c r="F346" s="15" t="n">
        <v>0.25</v>
      </c>
      <c r="G346" s="15" t="n">
        <v>1.5</v>
      </c>
      <c r="H346" s="16" t="inlineStr">
        <is>
          <t>3e ch8 : 6 h / 1 = 6.0 h</t>
        </is>
      </c>
    </row>
    <row r="347" ht="15" customHeight="1" s="10">
      <c r="A347" s="17" t="inlineStr">
        <is>
          <t>G.THA</t>
        </is>
      </c>
      <c r="B347" s="17" t="inlineStr">
        <is>
          <t>Theoreme de Thales</t>
        </is>
      </c>
      <c r="C347" s="17" t="n">
        <v>6</v>
      </c>
      <c r="D347" s="17" t="inlineStr">
        <is>
          <t>PRC</t>
        </is>
      </c>
      <c r="E347" s="17" t="inlineStr">
        <is>
          <t>Erreur procedurale</t>
        </is>
      </c>
      <c r="F347" s="17" t="n">
        <v>0.15</v>
      </c>
      <c r="G347" s="17" t="n">
        <v>1</v>
      </c>
      <c r="H347" s="18" t="inlineStr">
        <is>
          <t>3e ch8 : 6 h / 1 = 6.0 h</t>
        </is>
      </c>
    </row>
    <row r="348" ht="15" customHeight="1" s="10">
      <c r="A348" s="15" t="inlineStr">
        <is>
          <t>G.THA</t>
        </is>
      </c>
      <c r="B348" s="15" t="inlineStr">
        <is>
          <t>Theoreme de Thales</t>
        </is>
      </c>
      <c r="C348" s="15" t="n">
        <v>6</v>
      </c>
      <c r="D348" s="15" t="inlineStr">
        <is>
          <t>CNS</t>
        </is>
      </c>
      <c r="E348" s="15" t="inlineStr">
        <is>
          <t>Connaissance non disponible</t>
        </is>
      </c>
      <c r="F348" s="15" t="n">
        <v>0.1</v>
      </c>
      <c r="G348" s="15" t="n">
        <v>0.5</v>
      </c>
      <c r="H348" s="16" t="inlineStr">
        <is>
          <t>3e ch8 : 6 h / 1 = 6.0 h</t>
        </is>
      </c>
    </row>
    <row r="349" ht="15" customHeight="1" s="10">
      <c r="A349" s="17" t="inlineStr">
        <is>
          <t>G.THA</t>
        </is>
      </c>
      <c r="B349" s="17" t="inlineStr">
        <is>
          <t>Theoreme de Thales</t>
        </is>
      </c>
      <c r="C349" s="17" t="n">
        <v>6</v>
      </c>
      <c r="D349" s="17" t="inlineStr">
        <is>
          <t>RED</t>
        </is>
      </c>
      <c r="E349" s="17" t="inlineStr">
        <is>
          <t>Defaut de redaction ou de justification</t>
        </is>
      </c>
      <c r="F349" s="17" t="n">
        <v>0.15</v>
      </c>
      <c r="G349" s="17" t="n">
        <v>1</v>
      </c>
      <c r="H349" s="18" t="inlineStr">
        <is>
          <t>3e ch8 : 6 h / 1 = 6.0 h</t>
        </is>
      </c>
    </row>
    <row r="350" ht="15" customHeight="1" s="10">
      <c r="A350" s="15" t="inlineStr">
        <is>
          <t>G.COL</t>
        </is>
      </c>
      <c r="B350" s="15" t="inlineStr">
        <is>
          <t>Colinearite et coordonnees de vecteurs</t>
        </is>
      </c>
      <c r="C350" s="15" t="n">
        <v>10</v>
      </c>
      <c r="D350" s="15" t="inlineStr">
        <is>
          <t>PRQ</t>
        </is>
      </c>
      <c r="E350" s="15" t="inlineStr">
        <is>
          <t>Prerequis manquant</t>
        </is>
      </c>
      <c r="F350" s="15" t="n">
        <v>0.5</v>
      </c>
      <c r="G350" s="15" t="n">
        <v>4</v>
      </c>
      <c r="H350" s="16" t="inlineStr">
        <is>
          <t>3e ch2 : 6 h / 1 = 6.0 h + 3e ch3 : 4 h / 1 = 4.0 h</t>
        </is>
      </c>
    </row>
    <row r="351" ht="15" customHeight="1" s="10">
      <c r="A351" s="17" t="inlineStr">
        <is>
          <t>G.COL</t>
        </is>
      </c>
      <c r="B351" s="17" t="inlineStr">
        <is>
          <t>Colinearite et coordonnees de vecteurs</t>
        </is>
      </c>
      <c r="C351" s="17" t="n">
        <v>10</v>
      </c>
      <c r="D351" s="17" t="inlineStr">
        <is>
          <t>CPT</t>
        </is>
      </c>
      <c r="E351" s="17" t="inlineStr">
        <is>
          <t>Erreur conceptuelle</t>
        </is>
      </c>
      <c r="F351" s="17" t="n">
        <v>0.35</v>
      </c>
      <c r="G351" s="17" t="n">
        <v>3.5</v>
      </c>
      <c r="H351" s="18" t="inlineStr">
        <is>
          <t>3e ch2 : 6 h / 1 = 6.0 h + 3e ch3 : 4 h / 1 = 4.0 h</t>
        </is>
      </c>
    </row>
    <row r="352" ht="15" customHeight="1" s="10">
      <c r="A352" s="15" t="inlineStr">
        <is>
          <t>G.COL</t>
        </is>
      </c>
      <c r="B352" s="15" t="inlineStr">
        <is>
          <t>Colinearite et coordonnees de vecteurs</t>
        </is>
      </c>
      <c r="C352" s="15" t="n">
        <v>10</v>
      </c>
      <c r="D352" s="15" t="inlineStr">
        <is>
          <t>MOD</t>
        </is>
      </c>
      <c r="E352" s="15" t="inlineStr">
        <is>
          <t>Erreur de modelisation</t>
        </is>
      </c>
      <c r="F352" s="15" t="n">
        <v>0.25</v>
      </c>
      <c r="G352" s="15" t="n">
        <v>2.5</v>
      </c>
      <c r="H352" s="16" t="inlineStr">
        <is>
          <t>3e ch2 : 6 h / 1 = 6.0 h + 3e ch3 : 4 h / 1 = 4.0 h</t>
        </is>
      </c>
    </row>
    <row r="353" ht="15" customHeight="1" s="10">
      <c r="A353" s="17" t="inlineStr">
        <is>
          <t>G.COL</t>
        </is>
      </c>
      <c r="B353" s="17" t="inlineStr">
        <is>
          <t>Colinearite et coordonnees de vecteurs</t>
        </is>
      </c>
      <c r="C353" s="17" t="n">
        <v>10</v>
      </c>
      <c r="D353" s="17" t="inlineStr">
        <is>
          <t>PRC</t>
        </is>
      </c>
      <c r="E353" s="17" t="inlineStr">
        <is>
          <t>Erreur procedurale</t>
        </is>
      </c>
      <c r="F353" s="17" t="n">
        <v>0.15</v>
      </c>
      <c r="G353" s="17" t="n">
        <v>1.5</v>
      </c>
      <c r="H353" s="18" t="inlineStr">
        <is>
          <t>3e ch2 : 6 h / 1 = 6.0 h + 3e ch3 : 4 h / 1 = 4.0 h</t>
        </is>
      </c>
    </row>
    <row r="354" ht="15" customHeight="1" s="10">
      <c r="A354" s="15" t="inlineStr">
        <is>
          <t>G.COL</t>
        </is>
      </c>
      <c r="B354" s="15" t="inlineStr">
        <is>
          <t>Colinearite et coordonnees de vecteurs</t>
        </is>
      </c>
      <c r="C354" s="15" t="n">
        <v>10</v>
      </c>
      <c r="D354" s="15" t="inlineStr">
        <is>
          <t>CNS</t>
        </is>
      </c>
      <c r="E354" s="15" t="inlineStr">
        <is>
          <t>Connaissance non disponible</t>
        </is>
      </c>
      <c r="F354" s="15" t="n">
        <v>0.1</v>
      </c>
      <c r="G354" s="15" t="n">
        <v>1</v>
      </c>
      <c r="H354" s="16" t="inlineStr">
        <is>
          <t>3e ch2 : 6 h / 1 = 6.0 h + 3e ch3 : 4 h / 1 = 4.0 h</t>
        </is>
      </c>
    </row>
    <row r="355" ht="15" customHeight="1" s="10">
      <c r="A355" s="17" t="inlineStr">
        <is>
          <t>G.COL</t>
        </is>
      </c>
      <c r="B355" s="17" t="inlineStr">
        <is>
          <t>Colinearite et coordonnees de vecteurs</t>
        </is>
      </c>
      <c r="C355" s="17" t="n">
        <v>10</v>
      </c>
      <c r="D355" s="17" t="inlineStr">
        <is>
          <t>RED</t>
        </is>
      </c>
      <c r="E355" s="17" t="inlineStr">
        <is>
          <t>Defaut de redaction ou de justification</t>
        </is>
      </c>
      <c r="F355" s="17" t="n">
        <v>0.15</v>
      </c>
      <c r="G355" s="17" t="n">
        <v>1.5</v>
      </c>
      <c r="H355" s="18" t="inlineStr">
        <is>
          <t>3e ch2 : 6 h / 1 = 6.0 h + 3e ch3 : 4 h / 1 = 4.0 h</t>
        </is>
      </c>
    </row>
    <row r="356" ht="15" customHeight="1" s="10">
      <c r="A356" s="15" t="inlineStr">
        <is>
          <t>M.CONV</t>
        </is>
      </c>
      <c r="B356" s="15" t="inlineStr">
        <is>
          <t>Conversions d'unites</t>
        </is>
      </c>
      <c r="C356" s="15" t="n">
        <v>4</v>
      </c>
      <c r="D356" s="15" t="inlineStr">
        <is>
          <t>PRQ</t>
        </is>
      </c>
      <c r="E356" s="15" t="inlineStr">
        <is>
          <t>Prerequis manquant</t>
        </is>
      </c>
      <c r="F356" s="15" t="n">
        <v>0.5</v>
      </c>
      <c r="G356" s="15" t="n">
        <v>2</v>
      </c>
      <c r="H356" s="16" t="inlineStr">
        <is>
          <t>estimation</t>
        </is>
      </c>
    </row>
    <row r="357" ht="15" customHeight="1" s="10">
      <c r="A357" s="17" t="inlineStr">
        <is>
          <t>M.CONV</t>
        </is>
      </c>
      <c r="B357" s="17" t="inlineStr">
        <is>
          <t>Conversions d'unites</t>
        </is>
      </c>
      <c r="C357" s="17" t="n">
        <v>4</v>
      </c>
      <c r="D357" s="17" t="inlineStr">
        <is>
          <t>CPT</t>
        </is>
      </c>
      <c r="E357" s="17" t="inlineStr">
        <is>
          <t>Erreur conceptuelle</t>
        </is>
      </c>
      <c r="F357" s="17" t="n">
        <v>0.35</v>
      </c>
      <c r="G357" s="17" t="n">
        <v>1.5</v>
      </c>
      <c r="H357" s="18" t="inlineStr">
        <is>
          <t>estimation</t>
        </is>
      </c>
    </row>
    <row r="358" ht="15" customHeight="1" s="10">
      <c r="A358" s="15" t="inlineStr">
        <is>
          <t>M.CONV</t>
        </is>
      </c>
      <c r="B358" s="15" t="inlineStr">
        <is>
          <t>Conversions d'unites</t>
        </is>
      </c>
      <c r="C358" s="15" t="n">
        <v>4</v>
      </c>
      <c r="D358" s="15" t="inlineStr">
        <is>
          <t>MOD</t>
        </is>
      </c>
      <c r="E358" s="15" t="inlineStr">
        <is>
          <t>Erreur de modelisation</t>
        </is>
      </c>
      <c r="F358" s="15" t="n">
        <v>0.25</v>
      </c>
      <c r="G358" s="15" t="n">
        <v>1</v>
      </c>
      <c r="H358" s="16" t="inlineStr">
        <is>
          <t>estimation</t>
        </is>
      </c>
    </row>
    <row r="359" ht="15" customHeight="1" s="10">
      <c r="A359" s="17" t="inlineStr">
        <is>
          <t>M.CONV</t>
        </is>
      </c>
      <c r="B359" s="17" t="inlineStr">
        <is>
          <t>Conversions d'unites</t>
        </is>
      </c>
      <c r="C359" s="17" t="n">
        <v>4</v>
      </c>
      <c r="D359" s="17" t="inlineStr">
        <is>
          <t>PRC</t>
        </is>
      </c>
      <c r="E359" s="17" t="inlineStr">
        <is>
          <t>Erreur procedurale</t>
        </is>
      </c>
      <c r="F359" s="17" t="n">
        <v>0.15</v>
      </c>
      <c r="G359" s="17" t="n">
        <v>0.5</v>
      </c>
      <c r="H359" s="18" t="inlineStr">
        <is>
          <t>estimation</t>
        </is>
      </c>
    </row>
    <row r="360" ht="15" customHeight="1" s="10">
      <c r="A360" s="15" t="inlineStr">
        <is>
          <t>M.CONV</t>
        </is>
      </c>
      <c r="B360" s="15" t="inlineStr">
        <is>
          <t>Conversions d'unites</t>
        </is>
      </c>
      <c r="C360" s="15" t="n">
        <v>4</v>
      </c>
      <c r="D360" s="15" t="inlineStr">
        <is>
          <t>CNS</t>
        </is>
      </c>
      <c r="E360" s="15" t="inlineStr">
        <is>
          <t>Connaissance non disponible</t>
        </is>
      </c>
      <c r="F360" s="15" t="n">
        <v>0.1</v>
      </c>
      <c r="G360" s="15" t="n">
        <v>0.5</v>
      </c>
      <c r="H360" s="16" t="inlineStr">
        <is>
          <t>estimation</t>
        </is>
      </c>
    </row>
    <row r="361" ht="15" customHeight="1" s="10">
      <c r="A361" s="17" t="inlineStr">
        <is>
          <t>M.CONV</t>
        </is>
      </c>
      <c r="B361" s="17" t="inlineStr">
        <is>
          <t>Conversions d'unites</t>
        </is>
      </c>
      <c r="C361" s="17" t="n">
        <v>4</v>
      </c>
      <c r="D361" s="17" t="inlineStr">
        <is>
          <t>RED</t>
        </is>
      </c>
      <c r="E361" s="17" t="inlineStr">
        <is>
          <t>Defaut de redaction ou de justification</t>
        </is>
      </c>
      <c r="F361" s="17" t="n">
        <v>0.15</v>
      </c>
      <c r="G361" s="17" t="n">
        <v>0.5</v>
      </c>
      <c r="H361" s="18" t="inlineStr">
        <is>
          <t>estimation</t>
        </is>
      </c>
    </row>
    <row r="362" ht="15" customHeight="1" s="10">
      <c r="A362" s="15" t="inlineStr">
        <is>
          <t>M.PER</t>
        </is>
      </c>
      <c r="B362" s="15" t="inlineStr">
        <is>
          <t>Perimetres</t>
        </is>
      </c>
      <c r="C362" s="15" t="n">
        <v>4</v>
      </c>
      <c r="D362" s="15" t="inlineStr">
        <is>
          <t>PRQ</t>
        </is>
      </c>
      <c r="E362" s="15" t="inlineStr">
        <is>
          <t>Prerequis manquant</t>
        </is>
      </c>
      <c r="F362" s="15" t="n">
        <v>0.5</v>
      </c>
      <c r="G362" s="15" t="n">
        <v>2</v>
      </c>
      <c r="H362" s="16" t="inlineStr">
        <is>
          <t>estimation</t>
        </is>
      </c>
    </row>
    <row r="363" ht="15" customHeight="1" s="10">
      <c r="A363" s="17" t="inlineStr">
        <is>
          <t>M.PER</t>
        </is>
      </c>
      <c r="B363" s="17" t="inlineStr">
        <is>
          <t>Perimetres</t>
        </is>
      </c>
      <c r="C363" s="17" t="n">
        <v>4</v>
      </c>
      <c r="D363" s="17" t="inlineStr">
        <is>
          <t>CPT</t>
        </is>
      </c>
      <c r="E363" s="17" t="inlineStr">
        <is>
          <t>Erreur conceptuelle</t>
        </is>
      </c>
      <c r="F363" s="17" t="n">
        <v>0.35</v>
      </c>
      <c r="G363" s="17" t="n">
        <v>1.5</v>
      </c>
      <c r="H363" s="18" t="inlineStr">
        <is>
          <t>estimation</t>
        </is>
      </c>
    </row>
    <row r="364" ht="15" customHeight="1" s="10">
      <c r="A364" s="15" t="inlineStr">
        <is>
          <t>M.PER</t>
        </is>
      </c>
      <c r="B364" s="15" t="inlineStr">
        <is>
          <t>Perimetres</t>
        </is>
      </c>
      <c r="C364" s="15" t="n">
        <v>4</v>
      </c>
      <c r="D364" s="15" t="inlineStr">
        <is>
          <t>MOD</t>
        </is>
      </c>
      <c r="E364" s="15" t="inlineStr">
        <is>
          <t>Erreur de modelisation</t>
        </is>
      </c>
      <c r="F364" s="15" t="n">
        <v>0.25</v>
      </c>
      <c r="G364" s="15" t="n">
        <v>1</v>
      </c>
      <c r="H364" s="16" t="inlineStr">
        <is>
          <t>estimation</t>
        </is>
      </c>
    </row>
    <row r="365" ht="15" customHeight="1" s="10">
      <c r="A365" s="17" t="inlineStr">
        <is>
          <t>M.PER</t>
        </is>
      </c>
      <c r="B365" s="17" t="inlineStr">
        <is>
          <t>Perimetres</t>
        </is>
      </c>
      <c r="C365" s="17" t="n">
        <v>4</v>
      </c>
      <c r="D365" s="17" t="inlineStr">
        <is>
          <t>PRC</t>
        </is>
      </c>
      <c r="E365" s="17" t="inlineStr">
        <is>
          <t>Erreur procedurale</t>
        </is>
      </c>
      <c r="F365" s="17" t="n">
        <v>0.15</v>
      </c>
      <c r="G365" s="17" t="n">
        <v>0.5</v>
      </c>
      <c r="H365" s="18" t="inlineStr">
        <is>
          <t>estimation</t>
        </is>
      </c>
    </row>
    <row r="366" ht="15" customHeight="1" s="10">
      <c r="A366" s="15" t="inlineStr">
        <is>
          <t>M.PER</t>
        </is>
      </c>
      <c r="B366" s="15" t="inlineStr">
        <is>
          <t>Perimetres</t>
        </is>
      </c>
      <c r="C366" s="15" t="n">
        <v>4</v>
      </c>
      <c r="D366" s="15" t="inlineStr">
        <is>
          <t>CNS</t>
        </is>
      </c>
      <c r="E366" s="15" t="inlineStr">
        <is>
          <t>Connaissance non disponible</t>
        </is>
      </c>
      <c r="F366" s="15" t="n">
        <v>0.1</v>
      </c>
      <c r="G366" s="15" t="n">
        <v>0.5</v>
      </c>
      <c r="H366" s="16" t="inlineStr">
        <is>
          <t>estimation</t>
        </is>
      </c>
    </row>
    <row r="367" ht="15" customHeight="1" s="10">
      <c r="A367" s="17" t="inlineStr">
        <is>
          <t>M.PER</t>
        </is>
      </c>
      <c r="B367" s="17" t="inlineStr">
        <is>
          <t>Perimetres</t>
        </is>
      </c>
      <c r="C367" s="17" t="n">
        <v>4</v>
      </c>
      <c r="D367" s="17" t="inlineStr">
        <is>
          <t>RED</t>
        </is>
      </c>
      <c r="E367" s="17" t="inlineStr">
        <is>
          <t>Defaut de redaction ou de justification</t>
        </is>
      </c>
      <c r="F367" s="17" t="n">
        <v>0.15</v>
      </c>
      <c r="G367" s="17" t="n">
        <v>0.5</v>
      </c>
      <c r="H367" s="18" t="inlineStr">
        <is>
          <t>estimation</t>
        </is>
      </c>
    </row>
    <row r="368" ht="23.85" customHeight="1" s="10">
      <c r="A368" s="15" t="inlineStr">
        <is>
          <t>M.AIRE</t>
        </is>
      </c>
      <c r="B368" s="15" t="inlineStr">
        <is>
          <t>Aires</t>
        </is>
      </c>
      <c r="C368" s="15" t="n">
        <v>10.5</v>
      </c>
      <c r="D368" s="15" t="inlineStr">
        <is>
          <t>PRQ</t>
        </is>
      </c>
      <c r="E368" s="15" t="inlineStr">
        <is>
          <t>Prerequis manquant</t>
        </is>
      </c>
      <c r="F368" s="15" t="n">
        <v>0.5</v>
      </c>
      <c r="G368" s="15" t="n">
        <v>4</v>
      </c>
      <c r="H368" s="16" t="inlineStr">
        <is>
          <t>6e ch5 : 7 h / 2 = 3.5 h + 6e ch6 : 10 h / 2 = 5.0 h + 6e ch9 : 4 h / 2 = 2.0 h</t>
        </is>
      </c>
    </row>
    <row r="369" ht="23.85" customHeight="1" s="10">
      <c r="A369" s="17" t="inlineStr">
        <is>
          <t>M.AIRE</t>
        </is>
      </c>
      <c r="B369" s="17" t="inlineStr">
        <is>
          <t>Aires</t>
        </is>
      </c>
      <c r="C369" s="17" t="n">
        <v>10.5</v>
      </c>
      <c r="D369" s="17" t="inlineStr">
        <is>
          <t>CPT</t>
        </is>
      </c>
      <c r="E369" s="17" t="inlineStr">
        <is>
          <t>Erreur conceptuelle</t>
        </is>
      </c>
      <c r="F369" s="17" t="n">
        <v>0.35</v>
      </c>
      <c r="G369" s="17" t="n">
        <v>3.5</v>
      </c>
      <c r="H369" s="18" t="inlineStr">
        <is>
          <t>6e ch5 : 7 h / 2 = 3.5 h + 6e ch6 : 10 h / 2 = 5.0 h + 6e ch9 : 4 h / 2 = 2.0 h</t>
        </is>
      </c>
    </row>
    <row r="370" ht="23.85" customHeight="1" s="10">
      <c r="A370" s="15" t="inlineStr">
        <is>
          <t>M.AIRE</t>
        </is>
      </c>
      <c r="B370" s="15" t="inlineStr">
        <is>
          <t>Aires</t>
        </is>
      </c>
      <c r="C370" s="15" t="n">
        <v>10.5</v>
      </c>
      <c r="D370" s="15" t="inlineStr">
        <is>
          <t>MOD</t>
        </is>
      </c>
      <c r="E370" s="15" t="inlineStr">
        <is>
          <t>Erreur de modelisation</t>
        </is>
      </c>
      <c r="F370" s="15" t="n">
        <v>0.25</v>
      </c>
      <c r="G370" s="15" t="n">
        <v>2.5</v>
      </c>
      <c r="H370" s="16" t="inlineStr">
        <is>
          <t>6e ch5 : 7 h / 2 = 3.5 h + 6e ch6 : 10 h / 2 = 5.0 h + 6e ch9 : 4 h / 2 = 2.0 h</t>
        </is>
      </c>
    </row>
    <row r="371" ht="23.85" customHeight="1" s="10">
      <c r="A371" s="17" t="inlineStr">
        <is>
          <t>M.AIRE</t>
        </is>
      </c>
      <c r="B371" s="17" t="inlineStr">
        <is>
          <t>Aires</t>
        </is>
      </c>
      <c r="C371" s="17" t="n">
        <v>10.5</v>
      </c>
      <c r="D371" s="17" t="inlineStr">
        <is>
          <t>PRC</t>
        </is>
      </c>
      <c r="E371" s="17" t="inlineStr">
        <is>
          <t>Erreur procedurale</t>
        </is>
      </c>
      <c r="F371" s="17" t="n">
        <v>0.15</v>
      </c>
      <c r="G371" s="17" t="n">
        <v>1.5</v>
      </c>
      <c r="H371" s="18" t="inlineStr">
        <is>
          <t>6e ch5 : 7 h / 2 = 3.5 h + 6e ch6 : 10 h / 2 = 5.0 h + 6e ch9 : 4 h / 2 = 2.0 h</t>
        </is>
      </c>
    </row>
    <row r="372" ht="23.85" customHeight="1" s="10">
      <c r="A372" s="15" t="inlineStr">
        <is>
          <t>M.AIRE</t>
        </is>
      </c>
      <c r="B372" s="15" t="inlineStr">
        <is>
          <t>Aires</t>
        </is>
      </c>
      <c r="C372" s="15" t="n">
        <v>10.5</v>
      </c>
      <c r="D372" s="15" t="inlineStr">
        <is>
          <t>CNS</t>
        </is>
      </c>
      <c r="E372" s="15" t="inlineStr">
        <is>
          <t>Connaissance non disponible</t>
        </is>
      </c>
      <c r="F372" s="15" t="n">
        <v>0.1</v>
      </c>
      <c r="G372" s="15" t="n">
        <v>1</v>
      </c>
      <c r="H372" s="16" t="inlineStr">
        <is>
          <t>6e ch5 : 7 h / 2 = 3.5 h + 6e ch6 : 10 h / 2 = 5.0 h + 6e ch9 : 4 h / 2 = 2.0 h</t>
        </is>
      </c>
    </row>
    <row r="373" ht="23.85" customHeight="1" s="10">
      <c r="A373" s="17" t="inlineStr">
        <is>
          <t>M.AIRE</t>
        </is>
      </c>
      <c r="B373" s="17" t="inlineStr">
        <is>
          <t>Aires</t>
        </is>
      </c>
      <c r="C373" s="17" t="n">
        <v>10.5</v>
      </c>
      <c r="D373" s="17" t="inlineStr">
        <is>
          <t>RED</t>
        </is>
      </c>
      <c r="E373" s="17" t="inlineStr">
        <is>
          <t>Defaut de redaction ou de justification</t>
        </is>
      </c>
      <c r="F373" s="17" t="n">
        <v>0.15</v>
      </c>
      <c r="G373" s="17" t="n">
        <v>1.5</v>
      </c>
      <c r="H373" s="18" t="inlineStr">
        <is>
          <t>6e ch5 : 7 h / 2 = 3.5 h + 6e ch6 : 10 h / 2 = 5.0 h + 6e ch9 : 4 h / 2 = 2.0 h</t>
        </is>
      </c>
    </row>
    <row r="374" ht="15" customHeight="1" s="10">
      <c r="A374" s="15" t="inlineStr">
        <is>
          <t>M.VOL</t>
        </is>
      </c>
      <c r="B374" s="15" t="inlineStr">
        <is>
          <t>Volumes</t>
        </is>
      </c>
      <c r="C374" s="15" t="n">
        <v>3.5</v>
      </c>
      <c r="D374" s="15" t="inlineStr">
        <is>
          <t>PRQ</t>
        </is>
      </c>
      <c r="E374" s="15" t="inlineStr">
        <is>
          <t>Prerequis manquant</t>
        </is>
      </c>
      <c r="F374" s="15" t="n">
        <v>0.5</v>
      </c>
      <c r="G374" s="15" t="n">
        <v>2</v>
      </c>
      <c r="H374" s="16" t="inlineStr">
        <is>
          <t>6e ch18 : 7 h / 2 = 3.5 h</t>
        </is>
      </c>
    </row>
    <row r="375" ht="15" customHeight="1" s="10">
      <c r="A375" s="17" t="inlineStr">
        <is>
          <t>M.VOL</t>
        </is>
      </c>
      <c r="B375" s="17" t="inlineStr">
        <is>
          <t>Volumes</t>
        </is>
      </c>
      <c r="C375" s="17" t="n">
        <v>3.5</v>
      </c>
      <c r="D375" s="17" t="inlineStr">
        <is>
          <t>CPT</t>
        </is>
      </c>
      <c r="E375" s="17" t="inlineStr">
        <is>
          <t>Erreur conceptuelle</t>
        </is>
      </c>
      <c r="F375" s="17" t="n">
        <v>0.35</v>
      </c>
      <c r="G375" s="17" t="n">
        <v>1</v>
      </c>
      <c r="H375" s="18" t="inlineStr">
        <is>
          <t>6e ch18 : 7 h / 2 = 3.5 h</t>
        </is>
      </c>
    </row>
    <row r="376" ht="15" customHeight="1" s="10">
      <c r="A376" s="15" t="inlineStr">
        <is>
          <t>M.VOL</t>
        </is>
      </c>
      <c r="B376" s="15" t="inlineStr">
        <is>
          <t>Volumes</t>
        </is>
      </c>
      <c r="C376" s="15" t="n">
        <v>3.5</v>
      </c>
      <c r="D376" s="15" t="inlineStr">
        <is>
          <t>MOD</t>
        </is>
      </c>
      <c r="E376" s="15" t="inlineStr">
        <is>
          <t>Erreur de modelisation</t>
        </is>
      </c>
      <c r="F376" s="15" t="n">
        <v>0.25</v>
      </c>
      <c r="G376" s="15" t="n">
        <v>1</v>
      </c>
      <c r="H376" s="16" t="inlineStr">
        <is>
          <t>6e ch18 : 7 h / 2 = 3.5 h</t>
        </is>
      </c>
    </row>
    <row r="377" ht="15" customHeight="1" s="10">
      <c r="A377" s="17" t="inlineStr">
        <is>
          <t>M.VOL</t>
        </is>
      </c>
      <c r="B377" s="17" t="inlineStr">
        <is>
          <t>Volumes</t>
        </is>
      </c>
      <c r="C377" s="17" t="n">
        <v>3.5</v>
      </c>
      <c r="D377" s="17" t="inlineStr">
        <is>
          <t>PRC</t>
        </is>
      </c>
      <c r="E377" s="17" t="inlineStr">
        <is>
          <t>Erreur procedurale</t>
        </is>
      </c>
      <c r="F377" s="17" t="n">
        <v>0.15</v>
      </c>
      <c r="G377" s="17" t="n">
        <v>0.5</v>
      </c>
      <c r="H377" s="18" t="inlineStr">
        <is>
          <t>6e ch18 : 7 h / 2 = 3.5 h</t>
        </is>
      </c>
    </row>
    <row r="378" ht="15" customHeight="1" s="10">
      <c r="A378" s="15" t="inlineStr">
        <is>
          <t>M.VOL</t>
        </is>
      </c>
      <c r="B378" s="15" t="inlineStr">
        <is>
          <t>Volumes</t>
        </is>
      </c>
      <c r="C378" s="15" t="n">
        <v>3.5</v>
      </c>
      <c r="D378" s="15" t="inlineStr">
        <is>
          <t>CNS</t>
        </is>
      </c>
      <c r="E378" s="15" t="inlineStr">
        <is>
          <t>Connaissance non disponible</t>
        </is>
      </c>
      <c r="F378" s="15" t="n">
        <v>0.1</v>
      </c>
      <c r="G378" s="15" t="n">
        <v>0.5</v>
      </c>
      <c r="H378" s="16" t="inlineStr">
        <is>
          <t>6e ch18 : 7 h / 2 = 3.5 h</t>
        </is>
      </c>
    </row>
    <row r="379" ht="15" customHeight="1" s="10">
      <c r="A379" s="17" t="inlineStr">
        <is>
          <t>M.VOL</t>
        </is>
      </c>
      <c r="B379" s="17" t="inlineStr">
        <is>
          <t>Volumes</t>
        </is>
      </c>
      <c r="C379" s="17" t="n">
        <v>3.5</v>
      </c>
      <c r="D379" s="17" t="inlineStr">
        <is>
          <t>RED</t>
        </is>
      </c>
      <c r="E379" s="17" t="inlineStr">
        <is>
          <t>Defaut de redaction ou de justification</t>
        </is>
      </c>
      <c r="F379" s="17" t="n">
        <v>0.15</v>
      </c>
      <c r="G379" s="17" t="n">
        <v>0.5</v>
      </c>
      <c r="H379" s="18" t="inlineStr">
        <is>
          <t>6e ch18 : 7 h / 2 = 3.5 h</t>
        </is>
      </c>
    </row>
    <row r="380" ht="15" customHeight="1" s="10">
      <c r="A380" s="15" t="inlineStr">
        <is>
          <t>M.MVD</t>
        </is>
      </c>
      <c r="B380" s="15" t="inlineStr">
        <is>
          <t>Masse volumique, vitesse, debit</t>
        </is>
      </c>
      <c r="C380" s="15" t="n">
        <v>6</v>
      </c>
      <c r="D380" s="15" t="inlineStr">
        <is>
          <t>PRQ</t>
        </is>
      </c>
      <c r="E380" s="15" t="inlineStr">
        <is>
          <t>Prerequis manquant</t>
        </is>
      </c>
      <c r="F380" s="15" t="n">
        <v>0.5</v>
      </c>
      <c r="G380" s="15" t="n">
        <v>3</v>
      </c>
      <c r="H380" s="16" t="inlineStr">
        <is>
          <t>5e ch16 : 6 h / 1 = 6.0 h</t>
        </is>
      </c>
    </row>
    <row r="381" ht="15" customHeight="1" s="10">
      <c r="A381" s="17" t="inlineStr">
        <is>
          <t>M.MVD</t>
        </is>
      </c>
      <c r="B381" s="17" t="inlineStr">
        <is>
          <t>Masse volumique, vitesse, debit</t>
        </is>
      </c>
      <c r="C381" s="17" t="n">
        <v>6</v>
      </c>
      <c r="D381" s="17" t="inlineStr">
        <is>
          <t>CPT</t>
        </is>
      </c>
      <c r="E381" s="17" t="inlineStr">
        <is>
          <t>Erreur conceptuelle</t>
        </is>
      </c>
      <c r="F381" s="17" t="n">
        <v>0.35</v>
      </c>
      <c r="G381" s="17" t="n">
        <v>2</v>
      </c>
      <c r="H381" s="18" t="inlineStr">
        <is>
          <t>5e ch16 : 6 h / 1 = 6.0 h</t>
        </is>
      </c>
    </row>
    <row r="382" ht="15" customHeight="1" s="10">
      <c r="A382" s="15" t="inlineStr">
        <is>
          <t>M.MVD</t>
        </is>
      </c>
      <c r="B382" s="15" t="inlineStr">
        <is>
          <t>Masse volumique, vitesse, debit</t>
        </is>
      </c>
      <c r="C382" s="15" t="n">
        <v>6</v>
      </c>
      <c r="D382" s="15" t="inlineStr">
        <is>
          <t>MOD</t>
        </is>
      </c>
      <c r="E382" s="15" t="inlineStr">
        <is>
          <t>Erreur de modelisation</t>
        </is>
      </c>
      <c r="F382" s="15" t="n">
        <v>0.25</v>
      </c>
      <c r="G382" s="15" t="n">
        <v>1.5</v>
      </c>
      <c r="H382" s="16" t="inlineStr">
        <is>
          <t>5e ch16 : 6 h / 1 = 6.0 h</t>
        </is>
      </c>
    </row>
    <row r="383" ht="15" customHeight="1" s="10">
      <c r="A383" s="17" t="inlineStr">
        <is>
          <t>M.MVD</t>
        </is>
      </c>
      <c r="B383" s="17" t="inlineStr">
        <is>
          <t>Masse volumique, vitesse, debit</t>
        </is>
      </c>
      <c r="C383" s="17" t="n">
        <v>6</v>
      </c>
      <c r="D383" s="17" t="inlineStr">
        <is>
          <t>PRC</t>
        </is>
      </c>
      <c r="E383" s="17" t="inlineStr">
        <is>
          <t>Erreur procedurale</t>
        </is>
      </c>
      <c r="F383" s="17" t="n">
        <v>0.15</v>
      </c>
      <c r="G383" s="17" t="n">
        <v>1</v>
      </c>
      <c r="H383" s="18" t="inlineStr">
        <is>
          <t>5e ch16 : 6 h / 1 = 6.0 h</t>
        </is>
      </c>
    </row>
    <row r="384" ht="15" customHeight="1" s="10">
      <c r="A384" s="15" t="inlineStr">
        <is>
          <t>M.MVD</t>
        </is>
      </c>
      <c r="B384" s="15" t="inlineStr">
        <is>
          <t>Masse volumique, vitesse, debit</t>
        </is>
      </c>
      <c r="C384" s="15" t="n">
        <v>6</v>
      </c>
      <c r="D384" s="15" t="inlineStr">
        <is>
          <t>CNS</t>
        </is>
      </c>
      <c r="E384" s="15" t="inlineStr">
        <is>
          <t>Connaissance non disponible</t>
        </is>
      </c>
      <c r="F384" s="15" t="n">
        <v>0.1</v>
      </c>
      <c r="G384" s="15" t="n">
        <v>0.5</v>
      </c>
      <c r="H384" s="16" t="inlineStr">
        <is>
          <t>5e ch16 : 6 h / 1 = 6.0 h</t>
        </is>
      </c>
    </row>
    <row r="385" ht="15" customHeight="1" s="10">
      <c r="A385" s="17" t="inlineStr">
        <is>
          <t>M.MVD</t>
        </is>
      </c>
      <c r="B385" s="17" t="inlineStr">
        <is>
          <t>Masse volumique, vitesse, debit</t>
        </is>
      </c>
      <c r="C385" s="17" t="n">
        <v>6</v>
      </c>
      <c r="D385" s="17" t="inlineStr">
        <is>
          <t>RED</t>
        </is>
      </c>
      <c r="E385" s="17" t="inlineStr">
        <is>
          <t>Defaut de redaction ou de justification</t>
        </is>
      </c>
      <c r="F385" s="17" t="n">
        <v>0.15</v>
      </c>
      <c r="G385" s="17" t="n">
        <v>1</v>
      </c>
      <c r="H385" s="18" t="inlineStr">
        <is>
          <t>5e ch16 : 6 h / 1 = 6.0 h</t>
        </is>
      </c>
    </row>
    <row r="386" ht="15" customHeight="1" s="10">
      <c r="A386" s="15" t="inlineStr">
        <is>
          <t>M.ECH</t>
        </is>
      </c>
      <c r="B386" s="15" t="inlineStr">
        <is>
          <t>Echelle</t>
        </is>
      </c>
      <c r="C386" s="15" t="n">
        <v>4</v>
      </c>
      <c r="D386" s="15" t="inlineStr">
        <is>
          <t>PRQ</t>
        </is>
      </c>
      <c r="E386" s="15" t="inlineStr">
        <is>
          <t>Prerequis manquant</t>
        </is>
      </c>
      <c r="F386" s="15" t="n">
        <v>0.5</v>
      </c>
      <c r="G386" s="15" t="n">
        <v>2</v>
      </c>
      <c r="H386" s="16" t="inlineStr">
        <is>
          <t>5e ch17 : 4 h / 1 = 4.0 h</t>
        </is>
      </c>
    </row>
    <row r="387" ht="15" customHeight="1" s="10">
      <c r="A387" s="17" t="inlineStr">
        <is>
          <t>M.ECH</t>
        </is>
      </c>
      <c r="B387" s="17" t="inlineStr">
        <is>
          <t>Echelle</t>
        </is>
      </c>
      <c r="C387" s="17" t="n">
        <v>4</v>
      </c>
      <c r="D387" s="17" t="inlineStr">
        <is>
          <t>CPT</t>
        </is>
      </c>
      <c r="E387" s="17" t="inlineStr">
        <is>
          <t>Erreur conceptuelle</t>
        </is>
      </c>
      <c r="F387" s="17" t="n">
        <v>0.35</v>
      </c>
      <c r="G387" s="17" t="n">
        <v>1.5</v>
      </c>
      <c r="H387" s="18" t="inlineStr">
        <is>
          <t>5e ch17 : 4 h / 1 = 4.0 h</t>
        </is>
      </c>
    </row>
    <row r="388" ht="15" customHeight="1" s="10">
      <c r="A388" s="15" t="inlineStr">
        <is>
          <t>M.ECH</t>
        </is>
      </c>
      <c r="B388" s="15" t="inlineStr">
        <is>
          <t>Echelle</t>
        </is>
      </c>
      <c r="C388" s="15" t="n">
        <v>4</v>
      </c>
      <c r="D388" s="15" t="inlineStr">
        <is>
          <t>MOD</t>
        </is>
      </c>
      <c r="E388" s="15" t="inlineStr">
        <is>
          <t>Erreur de modelisation</t>
        </is>
      </c>
      <c r="F388" s="15" t="n">
        <v>0.25</v>
      </c>
      <c r="G388" s="15" t="n">
        <v>1</v>
      </c>
      <c r="H388" s="16" t="inlineStr">
        <is>
          <t>5e ch17 : 4 h / 1 = 4.0 h</t>
        </is>
      </c>
    </row>
    <row r="389" ht="15" customHeight="1" s="10">
      <c r="A389" s="17" t="inlineStr">
        <is>
          <t>M.ECH</t>
        </is>
      </c>
      <c r="B389" s="17" t="inlineStr">
        <is>
          <t>Echelle</t>
        </is>
      </c>
      <c r="C389" s="17" t="n">
        <v>4</v>
      </c>
      <c r="D389" s="17" t="inlineStr">
        <is>
          <t>PRC</t>
        </is>
      </c>
      <c r="E389" s="17" t="inlineStr">
        <is>
          <t>Erreur procedurale</t>
        </is>
      </c>
      <c r="F389" s="17" t="n">
        <v>0.15</v>
      </c>
      <c r="G389" s="17" t="n">
        <v>0.5</v>
      </c>
      <c r="H389" s="18" t="inlineStr">
        <is>
          <t>5e ch17 : 4 h / 1 = 4.0 h</t>
        </is>
      </c>
    </row>
    <row r="390" ht="15" customHeight="1" s="10">
      <c r="A390" s="15" t="inlineStr">
        <is>
          <t>M.ECH</t>
        </is>
      </c>
      <c r="B390" s="15" t="inlineStr">
        <is>
          <t>Echelle</t>
        </is>
      </c>
      <c r="C390" s="15" t="n">
        <v>4</v>
      </c>
      <c r="D390" s="15" t="inlineStr">
        <is>
          <t>CNS</t>
        </is>
      </c>
      <c r="E390" s="15" t="inlineStr">
        <is>
          <t>Connaissance non disponible</t>
        </is>
      </c>
      <c r="F390" s="15" t="n">
        <v>0.1</v>
      </c>
      <c r="G390" s="15" t="n">
        <v>0.5</v>
      </c>
      <c r="H390" s="16" t="inlineStr">
        <is>
          <t>5e ch17 : 4 h / 1 = 4.0 h</t>
        </is>
      </c>
    </row>
    <row r="391" ht="15" customHeight="1" s="10">
      <c r="A391" s="17" t="inlineStr">
        <is>
          <t>M.ECH</t>
        </is>
      </c>
      <c r="B391" s="17" t="inlineStr">
        <is>
          <t>Echelle</t>
        </is>
      </c>
      <c r="C391" s="17" t="n">
        <v>4</v>
      </c>
      <c r="D391" s="17" t="inlineStr">
        <is>
          <t>RED</t>
        </is>
      </c>
      <c r="E391" s="17" t="inlineStr">
        <is>
          <t>Defaut de redaction ou de justification</t>
        </is>
      </c>
      <c r="F391" s="17" t="n">
        <v>0.15</v>
      </c>
      <c r="G391" s="17" t="n">
        <v>0.5</v>
      </c>
      <c r="H391" s="18" t="inlineStr">
        <is>
          <t>5e ch17 : 4 h / 1 = 4.0 h</t>
        </is>
      </c>
    </row>
    <row r="392" ht="15" customHeight="1" s="10">
      <c r="A392" s="15" t="inlineStr">
        <is>
          <t>F.REL</t>
        </is>
      </c>
      <c r="B392" s="15" t="inlineStr">
        <is>
          <t>Relations et fonctions</t>
        </is>
      </c>
      <c r="C392" s="15" t="n">
        <v>5</v>
      </c>
      <c r="D392" s="15" t="inlineStr">
        <is>
          <t>PRQ</t>
        </is>
      </c>
      <c r="E392" s="15" t="inlineStr">
        <is>
          <t>Prerequis manquant</t>
        </is>
      </c>
      <c r="F392" s="15" t="n">
        <v>0.5</v>
      </c>
      <c r="G392" s="15" t="n">
        <v>2.5</v>
      </c>
      <c r="H392" s="16" t="inlineStr">
        <is>
          <t>6e ch15 : 5 h / 1 = 5.0 h</t>
        </is>
      </c>
    </row>
    <row r="393" ht="15" customHeight="1" s="10">
      <c r="A393" s="17" t="inlineStr">
        <is>
          <t>F.REL</t>
        </is>
      </c>
      <c r="B393" s="17" t="inlineStr">
        <is>
          <t>Relations et fonctions</t>
        </is>
      </c>
      <c r="C393" s="17" t="n">
        <v>5</v>
      </c>
      <c r="D393" s="17" t="inlineStr">
        <is>
          <t>CPT</t>
        </is>
      </c>
      <c r="E393" s="17" t="inlineStr">
        <is>
          <t>Erreur conceptuelle</t>
        </is>
      </c>
      <c r="F393" s="17" t="n">
        <v>0.35</v>
      </c>
      <c r="G393" s="17" t="n">
        <v>2</v>
      </c>
      <c r="H393" s="18" t="inlineStr">
        <is>
          <t>6e ch15 : 5 h / 1 = 5.0 h</t>
        </is>
      </c>
    </row>
    <row r="394" ht="15" customHeight="1" s="10">
      <c r="A394" s="15" t="inlineStr">
        <is>
          <t>F.REL</t>
        </is>
      </c>
      <c r="B394" s="15" t="inlineStr">
        <is>
          <t>Relations et fonctions</t>
        </is>
      </c>
      <c r="C394" s="15" t="n">
        <v>5</v>
      </c>
      <c r="D394" s="15" t="inlineStr">
        <is>
          <t>MOD</t>
        </is>
      </c>
      <c r="E394" s="15" t="inlineStr">
        <is>
          <t>Erreur de modelisation</t>
        </is>
      </c>
      <c r="F394" s="15" t="n">
        <v>0.25</v>
      </c>
      <c r="G394" s="15" t="n">
        <v>1</v>
      </c>
      <c r="H394" s="16" t="inlineStr">
        <is>
          <t>6e ch15 : 5 h / 1 = 5.0 h</t>
        </is>
      </c>
    </row>
    <row r="395" ht="15" customHeight="1" s="10">
      <c r="A395" s="17" t="inlineStr">
        <is>
          <t>F.REL</t>
        </is>
      </c>
      <c r="B395" s="17" t="inlineStr">
        <is>
          <t>Relations et fonctions</t>
        </is>
      </c>
      <c r="C395" s="17" t="n">
        <v>5</v>
      </c>
      <c r="D395" s="17" t="inlineStr">
        <is>
          <t>PRC</t>
        </is>
      </c>
      <c r="E395" s="17" t="inlineStr">
        <is>
          <t>Erreur procedurale</t>
        </is>
      </c>
      <c r="F395" s="17" t="n">
        <v>0.15</v>
      </c>
      <c r="G395" s="17" t="n">
        <v>1</v>
      </c>
      <c r="H395" s="18" t="inlineStr">
        <is>
          <t>6e ch15 : 5 h / 1 = 5.0 h</t>
        </is>
      </c>
    </row>
    <row r="396" ht="15" customHeight="1" s="10">
      <c r="A396" s="15" t="inlineStr">
        <is>
          <t>F.REL</t>
        </is>
      </c>
      <c r="B396" s="15" t="inlineStr">
        <is>
          <t>Relations et fonctions</t>
        </is>
      </c>
      <c r="C396" s="15" t="n">
        <v>5</v>
      </c>
      <c r="D396" s="15" t="inlineStr">
        <is>
          <t>CNS</t>
        </is>
      </c>
      <c r="E396" s="15" t="inlineStr">
        <is>
          <t>Connaissance non disponible</t>
        </is>
      </c>
      <c r="F396" s="15" t="n">
        <v>0.1</v>
      </c>
      <c r="G396" s="15" t="n">
        <v>0.5</v>
      </c>
      <c r="H396" s="16" t="inlineStr">
        <is>
          <t>6e ch15 : 5 h / 1 = 5.0 h</t>
        </is>
      </c>
    </row>
    <row r="397" ht="15" customHeight="1" s="10">
      <c r="A397" s="17" t="inlineStr">
        <is>
          <t>F.REL</t>
        </is>
      </c>
      <c r="B397" s="17" t="inlineStr">
        <is>
          <t>Relations et fonctions</t>
        </is>
      </c>
      <c r="C397" s="17" t="n">
        <v>5</v>
      </c>
      <c r="D397" s="17" t="inlineStr">
        <is>
          <t>RED</t>
        </is>
      </c>
      <c r="E397" s="17" t="inlineStr">
        <is>
          <t>Defaut de redaction ou de justification</t>
        </is>
      </c>
      <c r="F397" s="17" t="n">
        <v>0.15</v>
      </c>
      <c r="G397" s="17" t="n">
        <v>1</v>
      </c>
      <c r="H397" s="18" t="inlineStr">
        <is>
          <t>6e ch15 : 5 h / 1 = 5.0 h</t>
        </is>
      </c>
    </row>
    <row r="398" ht="15" customHeight="1" s="10">
      <c r="A398" s="15" t="inlineStr">
        <is>
          <t>F.APP</t>
        </is>
      </c>
      <c r="B398" s="15" t="inlineStr">
        <is>
          <t>Applications : image et antecedent</t>
        </is>
      </c>
      <c r="C398" s="15" t="n">
        <v>5</v>
      </c>
      <c r="D398" s="15" t="inlineStr">
        <is>
          <t>PRQ</t>
        </is>
      </c>
      <c r="E398" s="15" t="inlineStr">
        <is>
          <t>Prerequis manquant</t>
        </is>
      </c>
      <c r="F398" s="15" t="n">
        <v>0.5</v>
      </c>
      <c r="G398" s="15" t="n">
        <v>2.5</v>
      </c>
      <c r="H398" s="16" t="inlineStr">
        <is>
          <t>4e ch13 : 5 h / 1 = 5.0 h</t>
        </is>
      </c>
    </row>
    <row r="399" ht="15" customHeight="1" s="10">
      <c r="A399" s="17" t="inlineStr">
        <is>
          <t>F.APP</t>
        </is>
      </c>
      <c r="B399" s="17" t="inlineStr">
        <is>
          <t>Applications : image et antecedent</t>
        </is>
      </c>
      <c r="C399" s="17" t="n">
        <v>5</v>
      </c>
      <c r="D399" s="17" t="inlineStr">
        <is>
          <t>CPT</t>
        </is>
      </c>
      <c r="E399" s="17" t="inlineStr">
        <is>
          <t>Erreur conceptuelle</t>
        </is>
      </c>
      <c r="F399" s="17" t="n">
        <v>0.35</v>
      </c>
      <c r="G399" s="17" t="n">
        <v>2</v>
      </c>
      <c r="H399" s="18" t="inlineStr">
        <is>
          <t>4e ch13 : 5 h / 1 = 5.0 h</t>
        </is>
      </c>
    </row>
    <row r="400" ht="15" customHeight="1" s="10">
      <c r="A400" s="15" t="inlineStr">
        <is>
          <t>F.APP</t>
        </is>
      </c>
      <c r="B400" s="15" t="inlineStr">
        <is>
          <t>Applications : image et antecedent</t>
        </is>
      </c>
      <c r="C400" s="15" t="n">
        <v>5</v>
      </c>
      <c r="D400" s="15" t="inlineStr">
        <is>
          <t>MOD</t>
        </is>
      </c>
      <c r="E400" s="15" t="inlineStr">
        <is>
          <t>Erreur de modelisation</t>
        </is>
      </c>
      <c r="F400" s="15" t="n">
        <v>0.25</v>
      </c>
      <c r="G400" s="15" t="n">
        <v>1</v>
      </c>
      <c r="H400" s="16" t="inlineStr">
        <is>
          <t>4e ch13 : 5 h / 1 = 5.0 h</t>
        </is>
      </c>
    </row>
    <row r="401" ht="15" customHeight="1" s="10">
      <c r="A401" s="17" t="inlineStr">
        <is>
          <t>F.APP</t>
        </is>
      </c>
      <c r="B401" s="17" t="inlineStr">
        <is>
          <t>Applications : image et antecedent</t>
        </is>
      </c>
      <c r="C401" s="17" t="n">
        <v>5</v>
      </c>
      <c r="D401" s="17" t="inlineStr">
        <is>
          <t>PRC</t>
        </is>
      </c>
      <c r="E401" s="17" t="inlineStr">
        <is>
          <t>Erreur procedurale</t>
        </is>
      </c>
      <c r="F401" s="17" t="n">
        <v>0.15</v>
      </c>
      <c r="G401" s="17" t="n">
        <v>1</v>
      </c>
      <c r="H401" s="18" t="inlineStr">
        <is>
          <t>4e ch13 : 5 h / 1 = 5.0 h</t>
        </is>
      </c>
    </row>
    <row r="402" ht="15" customHeight="1" s="10">
      <c r="A402" s="15" t="inlineStr">
        <is>
          <t>F.APP</t>
        </is>
      </c>
      <c r="B402" s="15" t="inlineStr">
        <is>
          <t>Applications : image et antecedent</t>
        </is>
      </c>
      <c r="C402" s="15" t="n">
        <v>5</v>
      </c>
      <c r="D402" s="15" t="inlineStr">
        <is>
          <t>CNS</t>
        </is>
      </c>
      <c r="E402" s="15" t="inlineStr">
        <is>
          <t>Connaissance non disponible</t>
        </is>
      </c>
      <c r="F402" s="15" t="n">
        <v>0.1</v>
      </c>
      <c r="G402" s="15" t="n">
        <v>0.5</v>
      </c>
      <c r="H402" s="16" t="inlineStr">
        <is>
          <t>4e ch13 : 5 h / 1 = 5.0 h</t>
        </is>
      </c>
    </row>
    <row r="403" ht="15" customHeight="1" s="10">
      <c r="A403" s="17" t="inlineStr">
        <is>
          <t>F.APP</t>
        </is>
      </c>
      <c r="B403" s="17" t="inlineStr">
        <is>
          <t>Applications : image et antecedent</t>
        </is>
      </c>
      <c r="C403" s="17" t="n">
        <v>5</v>
      </c>
      <c r="D403" s="17" t="inlineStr">
        <is>
          <t>RED</t>
        </is>
      </c>
      <c r="E403" s="17" t="inlineStr">
        <is>
          <t>Defaut de redaction ou de justification</t>
        </is>
      </c>
      <c r="F403" s="17" t="n">
        <v>0.15</v>
      </c>
      <c r="G403" s="17" t="n">
        <v>1</v>
      </c>
      <c r="H403" s="18" t="inlineStr">
        <is>
          <t>4e ch13 : 5 h / 1 = 5.0 h</t>
        </is>
      </c>
    </row>
    <row r="404" ht="15" customHeight="1" s="10">
      <c r="A404" s="15" t="inlineStr">
        <is>
          <t>F.COMP</t>
        </is>
      </c>
      <c r="B404" s="15" t="inlineStr">
        <is>
          <t>Composition d'applications</t>
        </is>
      </c>
      <c r="C404" s="15" t="n">
        <v>4</v>
      </c>
      <c r="D404" s="15" t="inlineStr">
        <is>
          <t>PRQ</t>
        </is>
      </c>
      <c r="E404" s="15" t="inlineStr">
        <is>
          <t>Prerequis manquant</t>
        </is>
      </c>
      <c r="F404" s="15" t="n">
        <v>0.5</v>
      </c>
      <c r="G404" s="15" t="n">
        <v>2</v>
      </c>
      <c r="H404" s="16" t="inlineStr">
        <is>
          <t>4e ch17 : 4 h / 1 = 4.0 h</t>
        </is>
      </c>
    </row>
    <row r="405" ht="15" customHeight="1" s="10">
      <c r="A405" s="17" t="inlineStr">
        <is>
          <t>F.COMP</t>
        </is>
      </c>
      <c r="B405" s="17" t="inlineStr">
        <is>
          <t>Composition d'applications</t>
        </is>
      </c>
      <c r="C405" s="17" t="n">
        <v>4</v>
      </c>
      <c r="D405" s="17" t="inlineStr">
        <is>
          <t>CPT</t>
        </is>
      </c>
      <c r="E405" s="17" t="inlineStr">
        <is>
          <t>Erreur conceptuelle</t>
        </is>
      </c>
      <c r="F405" s="17" t="n">
        <v>0.35</v>
      </c>
      <c r="G405" s="17" t="n">
        <v>1.5</v>
      </c>
      <c r="H405" s="18" t="inlineStr">
        <is>
          <t>4e ch17 : 4 h / 1 = 4.0 h</t>
        </is>
      </c>
    </row>
    <row r="406" ht="15" customHeight="1" s="10">
      <c r="A406" s="15" t="inlineStr">
        <is>
          <t>F.COMP</t>
        </is>
      </c>
      <c r="B406" s="15" t="inlineStr">
        <is>
          <t>Composition d'applications</t>
        </is>
      </c>
      <c r="C406" s="15" t="n">
        <v>4</v>
      </c>
      <c r="D406" s="15" t="inlineStr">
        <is>
          <t>MOD</t>
        </is>
      </c>
      <c r="E406" s="15" t="inlineStr">
        <is>
          <t>Erreur de modelisation</t>
        </is>
      </c>
      <c r="F406" s="15" t="n">
        <v>0.25</v>
      </c>
      <c r="G406" s="15" t="n">
        <v>1</v>
      </c>
      <c r="H406" s="16" t="inlineStr">
        <is>
          <t>4e ch17 : 4 h / 1 = 4.0 h</t>
        </is>
      </c>
    </row>
    <row r="407" ht="15" customHeight="1" s="10">
      <c r="A407" s="17" t="inlineStr">
        <is>
          <t>F.COMP</t>
        </is>
      </c>
      <c r="B407" s="17" t="inlineStr">
        <is>
          <t>Composition d'applications</t>
        </is>
      </c>
      <c r="C407" s="17" t="n">
        <v>4</v>
      </c>
      <c r="D407" s="17" t="inlineStr">
        <is>
          <t>PRC</t>
        </is>
      </c>
      <c r="E407" s="17" t="inlineStr">
        <is>
          <t>Erreur procedurale</t>
        </is>
      </c>
      <c r="F407" s="17" t="n">
        <v>0.15</v>
      </c>
      <c r="G407" s="17" t="n">
        <v>0.5</v>
      </c>
      <c r="H407" s="18" t="inlineStr">
        <is>
          <t>4e ch17 : 4 h / 1 = 4.0 h</t>
        </is>
      </c>
    </row>
    <row r="408" ht="15" customHeight="1" s="10">
      <c r="A408" s="15" t="inlineStr">
        <is>
          <t>F.COMP</t>
        </is>
      </c>
      <c r="B408" s="15" t="inlineStr">
        <is>
          <t>Composition d'applications</t>
        </is>
      </c>
      <c r="C408" s="15" t="n">
        <v>4</v>
      </c>
      <c r="D408" s="15" t="inlineStr">
        <is>
          <t>CNS</t>
        </is>
      </c>
      <c r="E408" s="15" t="inlineStr">
        <is>
          <t>Connaissance non disponible</t>
        </is>
      </c>
      <c r="F408" s="15" t="n">
        <v>0.1</v>
      </c>
      <c r="G408" s="15" t="n">
        <v>0.5</v>
      </c>
      <c r="H408" s="16" t="inlineStr">
        <is>
          <t>4e ch17 : 4 h / 1 = 4.0 h</t>
        </is>
      </c>
    </row>
    <row r="409" ht="15" customHeight="1" s="10">
      <c r="A409" s="17" t="inlineStr">
        <is>
          <t>F.COMP</t>
        </is>
      </c>
      <c r="B409" s="17" t="inlineStr">
        <is>
          <t>Composition d'applications</t>
        </is>
      </c>
      <c r="C409" s="17" t="n">
        <v>4</v>
      </c>
      <c r="D409" s="17" t="inlineStr">
        <is>
          <t>RED</t>
        </is>
      </c>
      <c r="E409" s="17" t="inlineStr">
        <is>
          <t>Defaut de redaction ou de justification</t>
        </is>
      </c>
      <c r="F409" s="17" t="n">
        <v>0.15</v>
      </c>
      <c r="G409" s="17" t="n">
        <v>0.5</v>
      </c>
      <c r="H409" s="18" t="inlineStr">
        <is>
          <t>4e ch17 : 4 h / 1 = 4.0 h</t>
        </is>
      </c>
    </row>
    <row r="410" ht="15" customHeight="1" s="10">
      <c r="A410" s="15" t="inlineStr">
        <is>
          <t>F.LIN</t>
        </is>
      </c>
      <c r="B410" s="15" t="inlineStr">
        <is>
          <t>Applications lineaires et affines</t>
        </is>
      </c>
      <c r="C410" s="15" t="n">
        <v>16</v>
      </c>
      <c r="D410" s="15" t="inlineStr">
        <is>
          <t>PRQ</t>
        </is>
      </c>
      <c r="E410" s="15" t="inlineStr">
        <is>
          <t>Prerequis manquant</t>
        </is>
      </c>
      <c r="F410" s="15" t="n">
        <v>0.5</v>
      </c>
      <c r="G410" s="15" t="n">
        <v>4</v>
      </c>
      <c r="H410" s="16" t="inlineStr">
        <is>
          <t>3e ch13 : 8 h / 1 = 8.0 h + 3e ch17 : 8 h / 1 = 8.0 h</t>
        </is>
      </c>
    </row>
    <row r="411" ht="15" customHeight="1" s="10">
      <c r="A411" s="17" t="inlineStr">
        <is>
          <t>F.LIN</t>
        </is>
      </c>
      <c r="B411" s="17" t="inlineStr">
        <is>
          <t>Applications lineaires et affines</t>
        </is>
      </c>
      <c r="C411" s="17" t="n">
        <v>16</v>
      </c>
      <c r="D411" s="17" t="inlineStr">
        <is>
          <t>CPT</t>
        </is>
      </c>
      <c r="E411" s="17" t="inlineStr">
        <is>
          <t>Erreur conceptuelle</t>
        </is>
      </c>
      <c r="F411" s="17" t="n">
        <v>0.35</v>
      </c>
      <c r="G411" s="17" t="n">
        <v>4</v>
      </c>
      <c r="H411" s="18" t="inlineStr">
        <is>
          <t>3e ch13 : 8 h / 1 = 8.0 h + 3e ch17 : 8 h / 1 = 8.0 h</t>
        </is>
      </c>
    </row>
    <row r="412" ht="15" customHeight="1" s="10">
      <c r="A412" s="15" t="inlineStr">
        <is>
          <t>F.LIN</t>
        </is>
      </c>
      <c r="B412" s="15" t="inlineStr">
        <is>
          <t>Applications lineaires et affines</t>
        </is>
      </c>
      <c r="C412" s="15" t="n">
        <v>16</v>
      </c>
      <c r="D412" s="15" t="inlineStr">
        <is>
          <t>MOD</t>
        </is>
      </c>
      <c r="E412" s="15" t="inlineStr">
        <is>
          <t>Erreur de modelisation</t>
        </is>
      </c>
      <c r="F412" s="15" t="n">
        <v>0.25</v>
      </c>
      <c r="G412" s="15" t="n">
        <v>4</v>
      </c>
      <c r="H412" s="16" t="inlineStr">
        <is>
          <t>3e ch13 : 8 h / 1 = 8.0 h + 3e ch17 : 8 h / 1 = 8.0 h</t>
        </is>
      </c>
    </row>
    <row r="413" ht="15" customHeight="1" s="10">
      <c r="A413" s="17" t="inlineStr">
        <is>
          <t>F.LIN</t>
        </is>
      </c>
      <c r="B413" s="17" t="inlineStr">
        <is>
          <t>Applications lineaires et affines</t>
        </is>
      </c>
      <c r="C413" s="17" t="n">
        <v>16</v>
      </c>
      <c r="D413" s="17" t="inlineStr">
        <is>
          <t>PRC</t>
        </is>
      </c>
      <c r="E413" s="17" t="inlineStr">
        <is>
          <t>Erreur procedurale</t>
        </is>
      </c>
      <c r="F413" s="17" t="n">
        <v>0.15</v>
      </c>
      <c r="G413" s="17" t="n">
        <v>2.5</v>
      </c>
      <c r="H413" s="18" t="inlineStr">
        <is>
          <t>3e ch13 : 8 h / 1 = 8.0 h + 3e ch17 : 8 h / 1 = 8.0 h</t>
        </is>
      </c>
    </row>
    <row r="414" ht="15" customHeight="1" s="10">
      <c r="A414" s="15" t="inlineStr">
        <is>
          <t>F.LIN</t>
        </is>
      </c>
      <c r="B414" s="15" t="inlineStr">
        <is>
          <t>Applications lineaires et affines</t>
        </is>
      </c>
      <c r="C414" s="15" t="n">
        <v>16</v>
      </c>
      <c r="D414" s="15" t="inlineStr">
        <is>
          <t>CNS</t>
        </is>
      </c>
      <c r="E414" s="15" t="inlineStr">
        <is>
          <t>Connaissance non disponible</t>
        </is>
      </c>
      <c r="F414" s="15" t="n">
        <v>0.1</v>
      </c>
      <c r="G414" s="15" t="n">
        <v>1.5</v>
      </c>
      <c r="H414" s="16" t="inlineStr">
        <is>
          <t>3e ch13 : 8 h / 1 = 8.0 h + 3e ch17 : 8 h / 1 = 8.0 h</t>
        </is>
      </c>
    </row>
    <row r="415" ht="15" customHeight="1" s="10">
      <c r="A415" s="17" t="inlineStr">
        <is>
          <t>F.LIN</t>
        </is>
      </c>
      <c r="B415" s="17" t="inlineStr">
        <is>
          <t>Applications lineaires et affines</t>
        </is>
      </c>
      <c r="C415" s="17" t="n">
        <v>16</v>
      </c>
      <c r="D415" s="17" t="inlineStr">
        <is>
          <t>RED</t>
        </is>
      </c>
      <c r="E415" s="17" t="inlineStr">
        <is>
          <t>Defaut de redaction ou de justification</t>
        </is>
      </c>
      <c r="F415" s="17" t="n">
        <v>0.15</v>
      </c>
      <c r="G415" s="17" t="n">
        <v>2.5</v>
      </c>
      <c r="H415" s="18" t="inlineStr">
        <is>
          <t>3e ch13 : 8 h / 1 = 8.0 h + 3e ch17 : 8 h / 1 = 8.0 h</t>
        </is>
      </c>
    </row>
    <row r="416" ht="15" customHeight="1" s="10">
      <c r="A416" s="15" t="inlineStr">
        <is>
          <t>D.PROP</t>
        </is>
      </c>
      <c r="B416" s="15" t="inlineStr">
        <is>
          <t>Proportionnalite</t>
        </is>
      </c>
      <c r="C416" s="15" t="n">
        <v>4</v>
      </c>
      <c r="D416" s="15" t="inlineStr">
        <is>
          <t>PRQ</t>
        </is>
      </c>
      <c r="E416" s="15" t="inlineStr">
        <is>
          <t>Prerequis manquant</t>
        </is>
      </c>
      <c r="F416" s="15" t="n">
        <v>0.5</v>
      </c>
      <c r="G416" s="15" t="n">
        <v>2</v>
      </c>
      <c r="H416" s="16" t="inlineStr">
        <is>
          <t>6e ch16 : 8 h / 2 = 4.0 h</t>
        </is>
      </c>
    </row>
    <row r="417" ht="15" customHeight="1" s="10">
      <c r="A417" s="17" t="inlineStr">
        <is>
          <t>D.PROP</t>
        </is>
      </c>
      <c r="B417" s="17" t="inlineStr">
        <is>
          <t>Proportionnalite</t>
        </is>
      </c>
      <c r="C417" s="17" t="n">
        <v>4</v>
      </c>
      <c r="D417" s="17" t="inlineStr">
        <is>
          <t>CPT</t>
        </is>
      </c>
      <c r="E417" s="17" t="inlineStr">
        <is>
          <t>Erreur conceptuelle</t>
        </is>
      </c>
      <c r="F417" s="17" t="n">
        <v>0.35</v>
      </c>
      <c r="G417" s="17" t="n">
        <v>1.5</v>
      </c>
      <c r="H417" s="18" t="inlineStr">
        <is>
          <t>6e ch16 : 8 h / 2 = 4.0 h</t>
        </is>
      </c>
    </row>
    <row r="418" ht="15" customHeight="1" s="10">
      <c r="A418" s="15" t="inlineStr">
        <is>
          <t>D.PROP</t>
        </is>
      </c>
      <c r="B418" s="15" t="inlineStr">
        <is>
          <t>Proportionnalite</t>
        </is>
      </c>
      <c r="C418" s="15" t="n">
        <v>4</v>
      </c>
      <c r="D418" s="15" t="inlineStr">
        <is>
          <t>MOD</t>
        </is>
      </c>
      <c r="E418" s="15" t="inlineStr">
        <is>
          <t>Erreur de modelisation</t>
        </is>
      </c>
      <c r="F418" s="15" t="n">
        <v>0.25</v>
      </c>
      <c r="G418" s="15" t="n">
        <v>1</v>
      </c>
      <c r="H418" s="16" t="inlineStr">
        <is>
          <t>6e ch16 : 8 h / 2 = 4.0 h</t>
        </is>
      </c>
    </row>
    <row r="419" ht="15" customHeight="1" s="10">
      <c r="A419" s="17" t="inlineStr">
        <is>
          <t>D.PROP</t>
        </is>
      </c>
      <c r="B419" s="17" t="inlineStr">
        <is>
          <t>Proportionnalite</t>
        </is>
      </c>
      <c r="C419" s="17" t="n">
        <v>4</v>
      </c>
      <c r="D419" s="17" t="inlineStr">
        <is>
          <t>PRC</t>
        </is>
      </c>
      <c r="E419" s="17" t="inlineStr">
        <is>
          <t>Erreur procedurale</t>
        </is>
      </c>
      <c r="F419" s="17" t="n">
        <v>0.15</v>
      </c>
      <c r="G419" s="17" t="n">
        <v>0.5</v>
      </c>
      <c r="H419" s="18" t="inlineStr">
        <is>
          <t>6e ch16 : 8 h / 2 = 4.0 h</t>
        </is>
      </c>
    </row>
    <row r="420" ht="15" customHeight="1" s="10">
      <c r="A420" s="15" t="inlineStr">
        <is>
          <t>D.PROP</t>
        </is>
      </c>
      <c r="B420" s="15" t="inlineStr">
        <is>
          <t>Proportionnalite</t>
        </is>
      </c>
      <c r="C420" s="15" t="n">
        <v>4</v>
      </c>
      <c r="D420" s="15" t="inlineStr">
        <is>
          <t>CNS</t>
        </is>
      </c>
      <c r="E420" s="15" t="inlineStr">
        <is>
          <t>Connaissance non disponible</t>
        </is>
      </c>
      <c r="F420" s="15" t="n">
        <v>0.1</v>
      </c>
      <c r="G420" s="15" t="n">
        <v>0.5</v>
      </c>
      <c r="H420" s="16" t="inlineStr">
        <is>
          <t>6e ch16 : 8 h / 2 = 4.0 h</t>
        </is>
      </c>
    </row>
    <row r="421" ht="15" customHeight="1" s="10">
      <c r="A421" s="17" t="inlineStr">
        <is>
          <t>D.PROP</t>
        </is>
      </c>
      <c r="B421" s="17" t="inlineStr">
        <is>
          <t>Proportionnalite</t>
        </is>
      </c>
      <c r="C421" s="17" t="n">
        <v>4</v>
      </c>
      <c r="D421" s="17" t="inlineStr">
        <is>
          <t>RED</t>
        </is>
      </c>
      <c r="E421" s="17" t="inlineStr">
        <is>
          <t>Defaut de redaction ou de justification</t>
        </is>
      </c>
      <c r="F421" s="17" t="n">
        <v>0.15</v>
      </c>
      <c r="G421" s="17" t="n">
        <v>0.5</v>
      </c>
      <c r="H421" s="18" t="inlineStr">
        <is>
          <t>6e ch16 : 8 h / 2 = 4.0 h</t>
        </is>
      </c>
    </row>
    <row r="422" ht="15" customHeight="1" s="10">
      <c r="A422" s="15" t="inlineStr">
        <is>
          <t>D.POUR</t>
        </is>
      </c>
      <c r="B422" s="15" t="inlineStr">
        <is>
          <t>Pourcentages</t>
        </is>
      </c>
      <c r="C422" s="15" t="n">
        <v>4</v>
      </c>
      <c r="D422" s="15" t="inlineStr">
        <is>
          <t>PRQ</t>
        </is>
      </c>
      <c r="E422" s="15" t="inlineStr">
        <is>
          <t>Prerequis manquant</t>
        </is>
      </c>
      <c r="F422" s="15" t="n">
        <v>0.5</v>
      </c>
      <c r="G422" s="15" t="n">
        <v>2</v>
      </c>
      <c r="H422" s="16" t="inlineStr">
        <is>
          <t>6e ch16 : 8 h / 2 = 4.0 h</t>
        </is>
      </c>
    </row>
    <row r="423" ht="15" customHeight="1" s="10">
      <c r="A423" s="17" t="inlineStr">
        <is>
          <t>D.POUR</t>
        </is>
      </c>
      <c r="B423" s="17" t="inlineStr">
        <is>
          <t>Pourcentages</t>
        </is>
      </c>
      <c r="C423" s="17" t="n">
        <v>4</v>
      </c>
      <c r="D423" s="17" t="inlineStr">
        <is>
          <t>CPT</t>
        </is>
      </c>
      <c r="E423" s="17" t="inlineStr">
        <is>
          <t>Erreur conceptuelle</t>
        </is>
      </c>
      <c r="F423" s="17" t="n">
        <v>0.35</v>
      </c>
      <c r="G423" s="17" t="n">
        <v>1.5</v>
      </c>
      <c r="H423" s="18" t="inlineStr">
        <is>
          <t>6e ch16 : 8 h / 2 = 4.0 h</t>
        </is>
      </c>
    </row>
    <row r="424" ht="15" customHeight="1" s="10">
      <c r="A424" s="15" t="inlineStr">
        <is>
          <t>D.POUR</t>
        </is>
      </c>
      <c r="B424" s="15" t="inlineStr">
        <is>
          <t>Pourcentages</t>
        </is>
      </c>
      <c r="C424" s="15" t="n">
        <v>4</v>
      </c>
      <c r="D424" s="15" t="inlineStr">
        <is>
          <t>MOD</t>
        </is>
      </c>
      <c r="E424" s="15" t="inlineStr">
        <is>
          <t>Erreur de modelisation</t>
        </is>
      </c>
      <c r="F424" s="15" t="n">
        <v>0.25</v>
      </c>
      <c r="G424" s="15" t="n">
        <v>1</v>
      </c>
      <c r="H424" s="16" t="inlineStr">
        <is>
          <t>6e ch16 : 8 h / 2 = 4.0 h</t>
        </is>
      </c>
    </row>
    <row r="425" ht="15" customHeight="1" s="10">
      <c r="A425" s="17" t="inlineStr">
        <is>
          <t>D.POUR</t>
        </is>
      </c>
      <c r="B425" s="17" t="inlineStr">
        <is>
          <t>Pourcentages</t>
        </is>
      </c>
      <c r="C425" s="17" t="n">
        <v>4</v>
      </c>
      <c r="D425" s="17" t="inlineStr">
        <is>
          <t>PRC</t>
        </is>
      </c>
      <c r="E425" s="17" t="inlineStr">
        <is>
          <t>Erreur procedurale</t>
        </is>
      </c>
      <c r="F425" s="17" t="n">
        <v>0.15</v>
      </c>
      <c r="G425" s="17" t="n">
        <v>0.5</v>
      </c>
      <c r="H425" s="18" t="inlineStr">
        <is>
          <t>6e ch16 : 8 h / 2 = 4.0 h</t>
        </is>
      </c>
    </row>
    <row r="426" ht="15" customHeight="1" s="10">
      <c r="A426" s="15" t="inlineStr">
        <is>
          <t>D.POUR</t>
        </is>
      </c>
      <c r="B426" s="15" t="inlineStr">
        <is>
          <t>Pourcentages</t>
        </is>
      </c>
      <c r="C426" s="15" t="n">
        <v>4</v>
      </c>
      <c r="D426" s="15" t="inlineStr">
        <is>
          <t>CNS</t>
        </is>
      </c>
      <c r="E426" s="15" t="inlineStr">
        <is>
          <t>Connaissance non disponible</t>
        </is>
      </c>
      <c r="F426" s="15" t="n">
        <v>0.1</v>
      </c>
      <c r="G426" s="15" t="n">
        <v>0.5</v>
      </c>
      <c r="H426" s="16" t="inlineStr">
        <is>
          <t>6e ch16 : 8 h / 2 = 4.0 h</t>
        </is>
      </c>
    </row>
    <row r="427" ht="15" customHeight="1" s="10">
      <c r="A427" s="17" t="inlineStr">
        <is>
          <t>D.POUR</t>
        </is>
      </c>
      <c r="B427" s="17" t="inlineStr">
        <is>
          <t>Pourcentages</t>
        </is>
      </c>
      <c r="C427" s="17" t="n">
        <v>4</v>
      </c>
      <c r="D427" s="17" t="inlineStr">
        <is>
          <t>RED</t>
        </is>
      </c>
      <c r="E427" s="17" t="inlineStr">
        <is>
          <t>Defaut de redaction ou de justification</t>
        </is>
      </c>
      <c r="F427" s="17" t="n">
        <v>0.15</v>
      </c>
      <c r="G427" s="17" t="n">
        <v>0.5</v>
      </c>
      <c r="H427" s="18" t="inlineStr">
        <is>
          <t>6e ch16 : 8 h / 2 = 4.0 h</t>
        </is>
      </c>
    </row>
    <row r="428" ht="15" customHeight="1" s="10">
      <c r="A428" s="15" t="inlineStr">
        <is>
          <t>D.TAB</t>
        </is>
      </c>
      <c r="B428" s="15" t="inlineStr">
        <is>
          <t>Lecture de tableaux et graphiques</t>
        </is>
      </c>
      <c r="C428" s="15" t="n">
        <v>2</v>
      </c>
      <c r="D428" s="15" t="inlineStr">
        <is>
          <t>PRQ</t>
        </is>
      </c>
      <c r="E428" s="15" t="inlineStr">
        <is>
          <t>Prerequis manquant</t>
        </is>
      </c>
      <c r="F428" s="15" t="n">
        <v>0.5</v>
      </c>
      <c r="G428" s="15" t="n">
        <v>1</v>
      </c>
      <c r="H428" s="16" t="inlineStr">
        <is>
          <t>estimation</t>
        </is>
      </c>
    </row>
    <row r="429" ht="15" customHeight="1" s="10">
      <c r="A429" s="17" t="inlineStr">
        <is>
          <t>D.TAB</t>
        </is>
      </c>
      <c r="B429" s="17" t="inlineStr">
        <is>
          <t>Lecture de tableaux et graphiques</t>
        </is>
      </c>
      <c r="C429" s="17" t="n">
        <v>2</v>
      </c>
      <c r="D429" s="17" t="inlineStr">
        <is>
          <t>CPT</t>
        </is>
      </c>
      <c r="E429" s="17" t="inlineStr">
        <is>
          <t>Erreur conceptuelle</t>
        </is>
      </c>
      <c r="F429" s="17" t="n">
        <v>0.35</v>
      </c>
      <c r="G429" s="17" t="n">
        <v>0.5</v>
      </c>
      <c r="H429" s="18" t="inlineStr">
        <is>
          <t>estimation</t>
        </is>
      </c>
    </row>
    <row r="430" ht="15" customHeight="1" s="10">
      <c r="A430" s="15" t="inlineStr">
        <is>
          <t>D.TAB</t>
        </is>
      </c>
      <c r="B430" s="15" t="inlineStr">
        <is>
          <t>Lecture de tableaux et graphiques</t>
        </is>
      </c>
      <c r="C430" s="15" t="n">
        <v>2</v>
      </c>
      <c r="D430" s="15" t="inlineStr">
        <is>
          <t>MOD</t>
        </is>
      </c>
      <c r="E430" s="15" t="inlineStr">
        <is>
          <t>Erreur de modelisation</t>
        </is>
      </c>
      <c r="F430" s="15" t="n">
        <v>0.25</v>
      </c>
      <c r="G430" s="15" t="n">
        <v>0.5</v>
      </c>
      <c r="H430" s="16" t="inlineStr">
        <is>
          <t>estimation</t>
        </is>
      </c>
    </row>
    <row r="431" ht="15" customHeight="1" s="10">
      <c r="A431" s="17" t="inlineStr">
        <is>
          <t>D.TAB</t>
        </is>
      </c>
      <c r="B431" s="17" t="inlineStr">
        <is>
          <t>Lecture de tableaux et graphiques</t>
        </is>
      </c>
      <c r="C431" s="17" t="n">
        <v>2</v>
      </c>
      <c r="D431" s="17" t="inlineStr">
        <is>
          <t>PRC</t>
        </is>
      </c>
      <c r="E431" s="17" t="inlineStr">
        <is>
          <t>Erreur procedurale</t>
        </is>
      </c>
      <c r="F431" s="17" t="n">
        <v>0.15</v>
      </c>
      <c r="G431" s="17" t="n">
        <v>0.5</v>
      </c>
      <c r="H431" s="18" t="inlineStr">
        <is>
          <t>estimation</t>
        </is>
      </c>
    </row>
    <row r="432" ht="15" customHeight="1" s="10">
      <c r="A432" s="15" t="inlineStr">
        <is>
          <t>D.TAB</t>
        </is>
      </c>
      <c r="B432" s="15" t="inlineStr">
        <is>
          <t>Lecture de tableaux et graphiques</t>
        </is>
      </c>
      <c r="C432" s="15" t="n">
        <v>2</v>
      </c>
      <c r="D432" s="15" t="inlineStr">
        <is>
          <t>CNS</t>
        </is>
      </c>
      <c r="E432" s="15" t="inlineStr">
        <is>
          <t>Connaissance non disponible</t>
        </is>
      </c>
      <c r="F432" s="15" t="n">
        <v>0.1</v>
      </c>
      <c r="G432" s="15" t="n">
        <v>0.5</v>
      </c>
      <c r="H432" s="16" t="inlineStr">
        <is>
          <t>estimation</t>
        </is>
      </c>
    </row>
    <row r="433" ht="15" customHeight="1" s="10">
      <c r="A433" s="17" t="inlineStr">
        <is>
          <t>D.TAB</t>
        </is>
      </c>
      <c r="B433" s="17" t="inlineStr">
        <is>
          <t>Lecture de tableaux et graphiques</t>
        </is>
      </c>
      <c r="C433" s="17" t="n">
        <v>2</v>
      </c>
      <c r="D433" s="17" t="inlineStr">
        <is>
          <t>RED</t>
        </is>
      </c>
      <c r="E433" s="17" t="inlineStr">
        <is>
          <t>Defaut de redaction ou de justification</t>
        </is>
      </c>
      <c r="F433" s="17" t="n">
        <v>0.15</v>
      </c>
      <c r="G433" s="17" t="n">
        <v>0.5</v>
      </c>
      <c r="H433" s="18" t="inlineStr">
        <is>
          <t>estimation</t>
        </is>
      </c>
    </row>
    <row r="434" ht="15" customHeight="1" s="10">
      <c r="A434" s="15" t="inlineStr">
        <is>
          <t>D.STAT1</t>
        </is>
      </c>
      <c r="B434" s="15" t="inlineStr">
        <is>
          <t>Statistique du college</t>
        </is>
      </c>
      <c r="C434" s="15" t="n">
        <v>9</v>
      </c>
      <c r="D434" s="15" t="inlineStr">
        <is>
          <t>PRQ</t>
        </is>
      </c>
      <c r="E434" s="15" t="inlineStr">
        <is>
          <t>Prerequis manquant</t>
        </is>
      </c>
      <c r="F434" s="15" t="n">
        <v>0.5</v>
      </c>
      <c r="G434" s="15" t="n">
        <v>4</v>
      </c>
      <c r="H434" s="16" t="inlineStr">
        <is>
          <t>4e ch12 : 4 h / 1 = 4.0 h + 3e ch19 : 5 h / 1 = 5.0 h</t>
        </is>
      </c>
    </row>
    <row r="435" ht="15" customHeight="1" s="10">
      <c r="A435" s="17" t="inlineStr">
        <is>
          <t>D.STAT1</t>
        </is>
      </c>
      <c r="B435" s="17" t="inlineStr">
        <is>
          <t>Statistique du college</t>
        </is>
      </c>
      <c r="C435" s="17" t="n">
        <v>9</v>
      </c>
      <c r="D435" s="17" t="inlineStr">
        <is>
          <t>CPT</t>
        </is>
      </c>
      <c r="E435" s="17" t="inlineStr">
        <is>
          <t>Erreur conceptuelle</t>
        </is>
      </c>
      <c r="F435" s="17" t="n">
        <v>0.35</v>
      </c>
      <c r="G435" s="17" t="n">
        <v>3</v>
      </c>
      <c r="H435" s="18" t="inlineStr">
        <is>
          <t>4e ch12 : 4 h / 1 = 4.0 h + 3e ch19 : 5 h / 1 = 5.0 h</t>
        </is>
      </c>
    </row>
    <row r="436" ht="15" customHeight="1" s="10">
      <c r="A436" s="15" t="inlineStr">
        <is>
          <t>D.STAT1</t>
        </is>
      </c>
      <c r="B436" s="15" t="inlineStr">
        <is>
          <t>Statistique du college</t>
        </is>
      </c>
      <c r="C436" s="15" t="n">
        <v>9</v>
      </c>
      <c r="D436" s="15" t="inlineStr">
        <is>
          <t>MOD</t>
        </is>
      </c>
      <c r="E436" s="15" t="inlineStr">
        <is>
          <t>Erreur de modelisation</t>
        </is>
      </c>
      <c r="F436" s="15" t="n">
        <v>0.25</v>
      </c>
      <c r="G436" s="15" t="n">
        <v>2</v>
      </c>
      <c r="H436" s="16" t="inlineStr">
        <is>
          <t>4e ch12 : 4 h / 1 = 4.0 h + 3e ch19 : 5 h / 1 = 5.0 h</t>
        </is>
      </c>
    </row>
    <row r="437" ht="15" customHeight="1" s="10">
      <c r="A437" s="17" t="inlineStr">
        <is>
          <t>D.STAT1</t>
        </is>
      </c>
      <c r="B437" s="17" t="inlineStr">
        <is>
          <t>Statistique du college</t>
        </is>
      </c>
      <c r="C437" s="17" t="n">
        <v>9</v>
      </c>
      <c r="D437" s="17" t="inlineStr">
        <is>
          <t>PRC</t>
        </is>
      </c>
      <c r="E437" s="17" t="inlineStr">
        <is>
          <t>Erreur procedurale</t>
        </is>
      </c>
      <c r="F437" s="17" t="n">
        <v>0.15</v>
      </c>
      <c r="G437" s="17" t="n">
        <v>1.5</v>
      </c>
      <c r="H437" s="18" t="inlineStr">
        <is>
          <t>4e ch12 : 4 h / 1 = 4.0 h + 3e ch19 : 5 h / 1 = 5.0 h</t>
        </is>
      </c>
    </row>
    <row r="438" ht="15" customHeight="1" s="10">
      <c r="A438" s="15" t="inlineStr">
        <is>
          <t>D.STAT1</t>
        </is>
      </c>
      <c r="B438" s="15" t="inlineStr">
        <is>
          <t>Statistique du college</t>
        </is>
      </c>
      <c r="C438" s="15" t="n">
        <v>9</v>
      </c>
      <c r="D438" s="15" t="inlineStr">
        <is>
          <t>CNS</t>
        </is>
      </c>
      <c r="E438" s="15" t="inlineStr">
        <is>
          <t>Connaissance non disponible</t>
        </is>
      </c>
      <c r="F438" s="15" t="n">
        <v>0.1</v>
      </c>
      <c r="G438" s="15" t="n">
        <v>1</v>
      </c>
      <c r="H438" s="16" t="inlineStr">
        <is>
          <t>4e ch12 : 4 h / 1 = 4.0 h + 3e ch19 : 5 h / 1 = 5.0 h</t>
        </is>
      </c>
    </row>
    <row r="439" ht="15" customHeight="1" s="10">
      <c r="A439" s="17" t="inlineStr">
        <is>
          <t>D.STAT1</t>
        </is>
      </c>
      <c r="B439" s="17" t="inlineStr">
        <is>
          <t>Statistique du college</t>
        </is>
      </c>
      <c r="C439" s="17" t="n">
        <v>9</v>
      </c>
      <c r="D439" s="17" t="inlineStr">
        <is>
          <t>RED</t>
        </is>
      </c>
      <c r="E439" s="17" t="inlineStr">
        <is>
          <t>Defaut de redaction ou de justification</t>
        </is>
      </c>
      <c r="F439" s="17" t="n">
        <v>0.15</v>
      </c>
      <c r="G439" s="17" t="n">
        <v>1.5</v>
      </c>
      <c r="H439" s="18" t="inlineStr">
        <is>
          <t>4e ch12 : 4 h / 1 = 4.0 h + 3e ch19 : 5 h / 1 = 5.0 h</t>
        </is>
      </c>
    </row>
    <row r="440" ht="15" customHeight="1" s="10">
      <c r="A440" s="15" t="inlineStr">
        <is>
          <t>T.TRIR</t>
        </is>
      </c>
      <c r="B440" s="15" t="inlineStr">
        <is>
          <t>Trigonometrie dans le triangle rectangle</t>
        </is>
      </c>
      <c r="C440" s="15" t="n">
        <v>6</v>
      </c>
      <c r="D440" s="15" t="inlineStr">
        <is>
          <t>PRQ</t>
        </is>
      </c>
      <c r="E440" s="15" t="inlineStr">
        <is>
          <t>Prerequis manquant</t>
        </is>
      </c>
      <c r="F440" s="15" t="n">
        <v>0.5</v>
      </c>
      <c r="G440" s="15" t="n">
        <v>3</v>
      </c>
      <c r="H440" s="16" t="inlineStr">
        <is>
          <t>3e ch14 : 6 h / 1 = 6.0 h</t>
        </is>
      </c>
    </row>
    <row r="441" ht="15" customHeight="1" s="10">
      <c r="A441" s="17" t="inlineStr">
        <is>
          <t>T.TRIR</t>
        </is>
      </c>
      <c r="B441" s="17" t="inlineStr">
        <is>
          <t>Trigonometrie dans le triangle rectangle</t>
        </is>
      </c>
      <c r="C441" s="17" t="n">
        <v>6</v>
      </c>
      <c r="D441" s="17" t="inlineStr">
        <is>
          <t>CPT</t>
        </is>
      </c>
      <c r="E441" s="17" t="inlineStr">
        <is>
          <t>Erreur conceptuelle</t>
        </is>
      </c>
      <c r="F441" s="17" t="n">
        <v>0.35</v>
      </c>
      <c r="G441" s="17" t="n">
        <v>2</v>
      </c>
      <c r="H441" s="18" t="inlineStr">
        <is>
          <t>3e ch14 : 6 h / 1 = 6.0 h</t>
        </is>
      </c>
    </row>
    <row r="442" ht="15" customHeight="1" s="10">
      <c r="A442" s="15" t="inlineStr">
        <is>
          <t>T.TRIR</t>
        </is>
      </c>
      <c r="B442" s="15" t="inlineStr">
        <is>
          <t>Trigonometrie dans le triangle rectangle</t>
        </is>
      </c>
      <c r="C442" s="15" t="n">
        <v>6</v>
      </c>
      <c r="D442" s="15" t="inlineStr">
        <is>
          <t>MOD</t>
        </is>
      </c>
      <c r="E442" s="15" t="inlineStr">
        <is>
          <t>Erreur de modelisation</t>
        </is>
      </c>
      <c r="F442" s="15" t="n">
        <v>0.25</v>
      </c>
      <c r="G442" s="15" t="n">
        <v>1.5</v>
      </c>
      <c r="H442" s="16" t="inlineStr">
        <is>
          <t>3e ch14 : 6 h / 1 = 6.0 h</t>
        </is>
      </c>
    </row>
    <row r="443" ht="15" customHeight="1" s="10">
      <c r="A443" s="17" t="inlineStr">
        <is>
          <t>T.TRIR</t>
        </is>
      </c>
      <c r="B443" s="17" t="inlineStr">
        <is>
          <t>Trigonometrie dans le triangle rectangle</t>
        </is>
      </c>
      <c r="C443" s="17" t="n">
        <v>6</v>
      </c>
      <c r="D443" s="17" t="inlineStr">
        <is>
          <t>PRC</t>
        </is>
      </c>
      <c r="E443" s="17" t="inlineStr">
        <is>
          <t>Erreur procedurale</t>
        </is>
      </c>
      <c r="F443" s="17" t="n">
        <v>0.15</v>
      </c>
      <c r="G443" s="17" t="n">
        <v>1</v>
      </c>
      <c r="H443" s="18" t="inlineStr">
        <is>
          <t>3e ch14 : 6 h / 1 = 6.0 h</t>
        </is>
      </c>
    </row>
    <row r="444" ht="15" customHeight="1" s="10">
      <c r="A444" s="15" t="inlineStr">
        <is>
          <t>T.TRIR</t>
        </is>
      </c>
      <c r="B444" s="15" t="inlineStr">
        <is>
          <t>Trigonometrie dans le triangle rectangle</t>
        </is>
      </c>
      <c r="C444" s="15" t="n">
        <v>6</v>
      </c>
      <c r="D444" s="15" t="inlineStr">
        <is>
          <t>CNS</t>
        </is>
      </c>
      <c r="E444" s="15" t="inlineStr">
        <is>
          <t>Connaissance non disponible</t>
        </is>
      </c>
      <c r="F444" s="15" t="n">
        <v>0.1</v>
      </c>
      <c r="G444" s="15" t="n">
        <v>0.5</v>
      </c>
      <c r="H444" s="16" t="inlineStr">
        <is>
          <t>3e ch14 : 6 h / 1 = 6.0 h</t>
        </is>
      </c>
    </row>
    <row r="445" ht="15" customHeight="1" s="10">
      <c r="A445" s="17" t="inlineStr">
        <is>
          <t>T.TRIR</t>
        </is>
      </c>
      <c r="B445" s="17" t="inlineStr">
        <is>
          <t>Trigonometrie dans le triangle rectangle</t>
        </is>
      </c>
      <c r="C445" s="17" t="n">
        <v>6</v>
      </c>
      <c r="D445" s="17" t="inlineStr">
        <is>
          <t>RED</t>
        </is>
      </c>
      <c r="E445" s="17" t="inlineStr">
        <is>
          <t>Defaut de redaction ou de justification</t>
        </is>
      </c>
      <c r="F445" s="17" t="n">
        <v>0.15</v>
      </c>
      <c r="G445" s="17" t="n">
        <v>1</v>
      </c>
      <c r="H445" s="18" t="inlineStr">
        <is>
          <t>3e ch14 : 6 h / 1 = 6.0 h</t>
        </is>
      </c>
    </row>
  </sheetData>
  <autoFilter ref="A1:H44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outlinePr summaryBelow="1" summaryRight="1"/>
    <pageSetUpPr/>
  </sheetPr>
  <dimension ref="A1:H30"/>
  <sheetViews>
    <sheetView workbookViewId="0">
      <pane ySplit="1" topLeftCell="A2" activePane="bottomLeft" state="frozen"/>
      <selection pane="bottomLeft" activeCell="A1" sqref="A1"/>
    </sheetView>
  </sheetViews>
  <sheetFormatPr baseColWidth="8" defaultRowHeight="15"/>
  <cols>
    <col width="5" customWidth="1" style="10" min="1" max="1"/>
    <col width="9" customWidth="1" style="10" min="2" max="2"/>
    <col width="16" customWidth="1" style="10" min="3" max="3"/>
    <col width="16" customWidth="1" style="10" min="4" max="4"/>
    <col width="20" customWidth="1" style="10" min="5" max="5"/>
    <col width="62" customWidth="1" style="10" min="6" max="6"/>
    <col width="46" customWidth="1" style="10" min="7" max="7"/>
    <col width="46" customWidth="1" style="10" min="8" max="8"/>
  </cols>
  <sheetData>
    <row r="1" ht="30" customHeight="1" s="10">
      <c r="A1" s="19" t="inlineStr">
        <is>
          <t>N°</t>
        </is>
      </c>
      <c r="B1" s="19" t="inlineStr">
        <is>
          <t>Priorité</t>
        </is>
      </c>
      <c r="C1" s="19" t="inlineStr">
        <is>
          <t>Niveau</t>
        </is>
      </c>
      <c r="D1" s="19" t="inlineStr">
        <is>
          <t>Document</t>
        </is>
      </c>
      <c r="E1" s="19" t="inlineStr">
        <is>
          <t>Elément</t>
        </is>
      </c>
      <c r="F1" s="19" t="inlineStr">
        <is>
          <t>Constat</t>
        </is>
      </c>
      <c r="G1" s="19" t="inlineStr">
        <is>
          <t>Effet sur le diagnostic</t>
        </is>
      </c>
      <c r="H1" s="19" t="inlineStr">
        <is>
          <t>Suite proposée</t>
        </is>
      </c>
    </row>
    <row r="2">
      <c r="A2" s="21" t="n">
        <v>1</v>
      </c>
      <c r="B2" s="21" t="n">
        <v>1</v>
      </c>
      <c r="C2" s="20" t="inlineStr">
        <is>
          <t>4ème</t>
        </is>
      </c>
      <c r="D2" s="20" t="inlineStr">
        <is>
          <t>Sujet</t>
        </is>
      </c>
      <c r="E2" s="20" t="inlineStr">
        <is>
          <t>P2 q1 et P3 q1</t>
        </is>
      </c>
      <c r="F2" s="20" t="inlineStr">
        <is>
          <t>La question 2 redonne la réponse de la question 1 : P2 q2 écrit l'équation 5 000x - 3 000 = 32 000 que P2 q1 demande d'établir, P3 q2 donne les dimensions 45 m sur 30 m que P3 q1 demande de calculer.</t>
        </is>
      </c>
      <c r="G2" s="20" t="inlineStr">
        <is>
          <t>Un élève peut recopier la réponse de la question 1 (2 pts chacune) : P2.1 (mise en équation, L.EQD) et P3.1 (échelle, M.ECH) ne mesurent plus la compétence.</t>
        </is>
      </c>
      <c r="H2" s="20" t="inlineStr">
        <is>
          <t>Garder l'indépendance des questions 2 et 3 sans donner la réponse : redonner une donnée équivalente mais différente, ou placer la donnée redonnée après un cadre de réponse séparé.</t>
        </is>
      </c>
    </row>
    <row r="3">
      <c r="A3" s="23" t="n">
        <v>2</v>
      </c>
      <c r="B3" s="23" t="n">
        <v>1</v>
      </c>
      <c r="C3" s="22" t="inlineStr">
        <is>
          <t>6ème, 3ème, 2nde C, Tle D</t>
        </is>
      </c>
      <c r="D3" s="22" t="inlineStr">
        <is>
          <t>Corrigés</t>
        </is>
      </c>
      <c r="E3" s="22" t="inlineStr">
        <is>
          <t>Grille de report, partie C</t>
        </is>
      </c>
      <c r="F3" s="22" t="inlineStr">
        <is>
          <t>En 3ème, 2nde C et Tle D, le profil par domaine du corrigé rattache chaque problème entier à un seul domaine. En 6ème, la répartition annoncée suppose de couper P1.3 et P3.1 en deux.</t>
        </is>
      </c>
      <c r="G3" s="22" t="inlineStr">
        <is>
          <t>Le profil par domaine calculé par l'enseignant sur le corrigé ne sera pas celui que calculera la base à partir de l'onglet 04 (en Tle D : S 12 pts au lieu de 15, T 9 au lieu de 12). Deux lectures différentes d'une même copie.</t>
        </is>
      </c>
      <c r="H3" s="22" t="inlineStr">
        <is>
          <t>Aligner la grille (b) de chaque corrigé sur la compétence principale de chaque sous-question de l'onglet 04.</t>
        </is>
      </c>
    </row>
    <row r="4">
      <c r="A4" s="21" t="n">
        <v>3</v>
      </c>
      <c r="B4" s="21" t="n">
        <v>1</v>
      </c>
      <c r="C4" s="20" t="inlineStr">
        <is>
          <t>1ère D</t>
        </is>
      </c>
      <c r="D4" s="20" t="inlineStr">
        <is>
          <t>Corrigé</t>
        </is>
      </c>
      <c r="E4" s="20" t="inlineStr">
        <is>
          <t>P3 q3, barème</t>
        </is>
      </c>
      <c r="F4" s="20" t="inlineStr">
        <is>
          <t>Le barème refuse le second point à l'élève qui compare 190 à 204. Or « suffit à coup sûr » équivaut à 190 ≥ 204 : cette comparaison prouve correctement que le grillage ne suffit pas à coup sûr.</t>
        </is>
      </c>
      <c r="G4" s="20" t="inlineStr">
        <is>
          <t>Un raisonnement juste est sanctionné et lu comme une erreur sur l'encadrement.</t>
        </is>
      </c>
      <c r="H4" s="20" t="inlineStr">
        <is>
          <t>Accepter les deux comparaisons (204 et 196) dans le barème.</t>
        </is>
      </c>
    </row>
    <row r="5">
      <c r="A5" s="23" t="n">
        <v>4</v>
      </c>
      <c r="B5" s="23" t="n">
        <v>1</v>
      </c>
      <c r="C5" s="22" t="inlineStr">
        <is>
          <t>Tle D</t>
        </is>
      </c>
      <c r="D5" s="22" t="inlineStr">
        <is>
          <t>Matrice</t>
        </is>
      </c>
      <c r="E5" s="22" t="inlineStr">
        <is>
          <t>P4 q3, conclusion attendue</t>
        </is>
      </c>
      <c r="F5" s="22" t="inlineStr">
        <is>
          <t>La matrice attend « Salif a tort » ; le corrigé attend « Salif n'a raison qu'à moitié (isocèle en A, non rectangle) » et refuse le point à qui lui donne entièrement tort.</t>
        </is>
      </c>
      <c r="G5" s="22" t="inlineStr">
        <is>
          <t>Selon le document suivi par le correcteur, la même copie gagne ou perd le point de conclusion.</t>
        </is>
      </c>
      <c r="H5" s="22" t="inlineStr">
        <is>
          <t>Corriger la matrice sur le corrigé.</t>
        </is>
      </c>
    </row>
    <row r="6">
      <c r="A6" s="21" t="n">
        <v>5</v>
      </c>
      <c r="B6" s="21" t="n">
        <v>1</v>
      </c>
      <c r="C6" s="20" t="inlineStr">
        <is>
          <t>2nde C</t>
        </is>
      </c>
      <c r="D6" s="20" t="inlineStr">
        <is>
          <t>Corrigé</t>
        </is>
      </c>
      <c r="E6" s="20" t="inlineStr">
        <is>
          <t>G11, exemple d'argument</t>
        </is>
      </c>
      <c r="F6" s="20" t="inlineStr">
        <is>
          <t>Le corrigé écrit que le dénivelé « double » quand la piste passe de 90 m à 120 m. C'est faux : la longueur est multipliée par 4/3, le dénivelé passe de 45 m à 60 m.</t>
        </is>
      </c>
      <c r="G6" s="20" t="inlineStr">
        <is>
          <t>Un correcteur qui suit l'exemple pourrait valider un argument faux.</t>
        </is>
      </c>
      <c r="H6" s="20" t="inlineStr">
        <is>
          <t>Corriger la phrase : « il est multiplié par 4/3 ».</t>
        </is>
      </c>
    </row>
    <row r="7">
      <c r="A7" s="23" t="n">
        <v>6</v>
      </c>
      <c r="B7" s="23" t="n">
        <v>2</v>
      </c>
      <c r="C7" s="22" t="inlineStr">
        <is>
          <t>4ème</t>
        </is>
      </c>
      <c r="D7" s="22" t="inlineStr">
        <is>
          <t>Sujet et matrice</t>
        </is>
      </c>
      <c r="E7" s="22" t="inlineStr">
        <is>
          <t>P1 q3</t>
        </is>
      </c>
      <c r="F7" s="22" t="inlineStr">
        <is>
          <t>La matrice dit que les écarts sont redonnés à la question 3 ; le sujet ne les redonne pas.</t>
        </is>
      </c>
      <c r="G7" s="22" t="inlineStr">
        <is>
          <t>Un échec en P1.2 se propage à P1.3 (seule la règle d'erreur propagée du corrigé compense).</t>
        </is>
      </c>
      <c r="H7" s="22" t="inlineStr">
        <is>
          <t>Redonner les écarts dans l'énoncé de la question 3.</t>
        </is>
      </c>
    </row>
    <row r="8">
      <c r="A8" s="21" t="n">
        <v>7</v>
      </c>
      <c r="B8" s="21" t="n">
        <v>2</v>
      </c>
      <c r="C8" s="20" t="inlineStr">
        <is>
          <t>4ème</t>
        </is>
      </c>
      <c r="D8" s="20" t="inlineStr">
        <is>
          <t>Sujet et corrigé</t>
        </is>
      </c>
      <c r="E8" s="20" t="inlineStr">
        <is>
          <t>P1</t>
        </is>
      </c>
      <c r="F8" s="20" t="inlineStr">
        <is>
          <t>Le sujet dit « à moins de 3 degrés » (strict), le corrigé « 3 degrés au plus » (large). Sans effet ici, aucun écart ne vaut 3.</t>
        </is>
      </c>
      <c r="G8" s="20" t="inlineStr">
        <is>
          <t>Aucun aujourd'hui ; risque si les valeurs changent.</t>
        </is>
      </c>
      <c r="H8" s="20" t="inlineStr">
        <is>
          <t>Harmoniser la formulation.</t>
        </is>
      </c>
    </row>
    <row r="9">
      <c r="A9" s="23" t="n">
        <v>8</v>
      </c>
      <c r="B9" s="23" t="n">
        <v>2</v>
      </c>
      <c r="C9" s="22" t="inlineStr">
        <is>
          <t>Tle D</t>
        </is>
      </c>
      <c r="D9" s="22" t="inlineStr">
        <is>
          <t>Corrigé</t>
        </is>
      </c>
      <c r="E9" s="22" t="inlineStr">
        <is>
          <t>P3 q1, barème</t>
        </is>
      </c>
      <c r="F9" s="22" t="inlineStr">
        <is>
          <t>« Un seul des deux points si la hauteur est donnée sans l'heure » : le second point couvre déjà hauteur et heure ensemble, la règle est ambiguë.</t>
        </is>
      </c>
      <c r="G9" s="22" t="inlineStr">
        <is>
          <t>Notation variable d'un correcteur à l'autre.</t>
        </is>
      </c>
      <c r="H9" s="22" t="inlineStr">
        <is>
          <t>Préciser ce que vaut la hauteur seule.</t>
        </is>
      </c>
    </row>
    <row r="10">
      <c r="A10" s="21" t="n">
        <v>9</v>
      </c>
      <c r="B10" s="21" t="n">
        <v>2</v>
      </c>
      <c r="C10" s="20" t="inlineStr">
        <is>
          <t>3ème</t>
        </is>
      </c>
      <c r="D10" s="20" t="inlineStr">
        <is>
          <t>Corrigé</t>
        </is>
      </c>
      <c r="E10" s="20" t="inlineStr">
        <is>
          <t>P1, donnée inutile (400 m)</t>
        </is>
      </c>
      <c r="F10" s="20" t="inlineStr">
        <is>
          <t>Le corrigé dit que l'emploi des 400 m « ne doit pas être compté comme une erreur ». Intégrés au volume (3 600 m³), ils donnent un résultat faux.</t>
        </is>
      </c>
      <c r="G10" s="20" t="inlineStr">
        <is>
          <t>Ambiguïté pour le correcteur ; la grille 05 classe ce cas en MOD.</t>
        </is>
      </c>
      <c r="H10" s="20" t="inlineStr">
        <is>
          <t>Préciser que seule la simple mention de la donnée n'est pas pénalisée.</t>
        </is>
      </c>
    </row>
    <row r="11">
      <c r="A11" s="23" t="n">
        <v>10</v>
      </c>
      <c r="B11" s="23" t="n">
        <v>2</v>
      </c>
      <c r="C11" s="22" t="inlineStr">
        <is>
          <t>1ère D</t>
        </is>
      </c>
      <c r="D11" s="22" t="inlineStr">
        <is>
          <t>Sujet</t>
        </is>
      </c>
      <c r="E11" s="22" t="inlineStr">
        <is>
          <t>D1 (QCM)</t>
        </is>
      </c>
      <c r="F11" s="22" t="inlineStr">
        <is>
          <t>La moyenne des huit masses (49,5) est égale à la médiane.</t>
        </is>
      </c>
      <c r="G11" s="22" t="inlineStr">
        <is>
          <t>L'élève qui confond médiane et moyenne entoure la bonne réponse : la confusion est invisible.</t>
        </is>
      </c>
      <c r="H11" s="22" t="inlineStr">
        <is>
          <t>Changer une valeur de la série pour séparer moyenne et médiane.</t>
        </is>
      </c>
    </row>
    <row r="12">
      <c r="A12" s="21" t="n">
        <v>11</v>
      </c>
      <c r="B12" s="21" t="n">
        <v>2</v>
      </c>
      <c r="C12" s="20" t="inlineStr">
        <is>
          <t>4ème</t>
        </is>
      </c>
      <c r="D12" s="20" t="inlineStr">
        <is>
          <t>Sujet</t>
        </is>
      </c>
      <c r="E12" s="20" t="inlineStr">
        <is>
          <t>G8</t>
        </is>
      </c>
      <c r="F12" s="20" t="inlineStr">
        <is>
          <t>Avec r = 2 m, 2πr et πr² valent tous deux 12,56.</t>
        </is>
      </c>
      <c r="G12" s="20" t="inlineStr">
        <is>
          <t>L'erreur « périmètre au lieu de l'aire du disque » donne la bonne hauteur et reste invisible.</t>
        </is>
      </c>
      <c r="H12" s="20" t="inlineStr">
        <is>
          <t>Changer le rayon.</t>
        </is>
      </c>
    </row>
    <row r="13">
      <c r="A13" s="23" t="n">
        <v>12</v>
      </c>
      <c r="B13" s="23" t="n">
        <v>2</v>
      </c>
      <c r="C13" s="22" t="inlineStr">
        <is>
          <t>Tle D</t>
        </is>
      </c>
      <c r="D13" s="22" t="inlineStr">
        <is>
          <t>Sujet</t>
        </is>
      </c>
      <c r="E13" s="22" t="inlineStr">
        <is>
          <t>F12</t>
        </is>
      </c>
      <c r="F13" s="22" t="inlineStr">
        <is>
          <t>L'erreur « dérivée de ax² prise égale à ax » donne a = -4, b = 1, puis f'(2) = 5, la bonne valeur.</t>
        </is>
      </c>
      <c r="G13" s="22" t="inlineStr">
        <is>
          <t>Le second point ne détecte pas cette erreur ; seul le premier (a = -2) la révèle.</t>
        </is>
      </c>
      <c r="H13" s="22" t="inlineStr">
        <is>
          <t>A savoir à la correction ; pas de changement indispensable.</t>
        </is>
      </c>
    </row>
    <row r="14">
      <c r="A14" s="21" t="n">
        <v>13</v>
      </c>
      <c r="B14" s="21" t="n">
        <v>2</v>
      </c>
      <c r="C14" s="20" t="inlineStr">
        <is>
          <t>Tle D</t>
        </is>
      </c>
      <c r="D14" s="20" t="inlineStr">
        <is>
          <t>Corrigé et matrice</t>
        </is>
      </c>
      <c r="E14" s="20" t="inlineStr">
        <is>
          <t>P4 q1</t>
        </is>
      </c>
      <c r="F14" s="20" t="inlineStr">
        <is>
          <t>Le corrigé accepte √40 et ne refuse que 6,3 : la simplification √40 = 2√10 n'est pas évaluée.</t>
        </is>
      </c>
      <c r="G14" s="20" t="inlineStr">
        <is>
          <t>N-a (radicaux) n'est en fait pas observée au niveau 3, contrairement à ce qu'annoncent la matrice et le corrigé.</t>
        </is>
      </c>
      <c r="H14" s="20" t="inlineStr">
        <is>
          <t>Exiger la forme simplifiée, ou retirer N-a de la couverture annoncée de P4.</t>
        </is>
      </c>
    </row>
    <row r="15">
      <c r="A15" s="23" t="n">
        <v>14</v>
      </c>
      <c r="B15" s="23" t="n">
        <v>2</v>
      </c>
      <c r="C15" s="22" t="inlineStr">
        <is>
          <t>2nde C</t>
        </is>
      </c>
      <c r="D15" s="22" t="inlineStr">
        <is>
          <t>Matrice</t>
        </is>
      </c>
      <c r="E15" s="22" t="inlineStr">
        <is>
          <t>Couverture de la partie C</t>
        </is>
      </c>
      <c r="F15" s="22" t="inlineStr">
        <is>
          <t>Comptées par compétence principale de sous-question, 7 compétences locales seulement sont observées en partie C (seuil de la SPEC : 9). La matrice en annonce 10 en comptant les compétences secondaires (L-c, N-d, G-d).</t>
        </is>
      </c>
      <c r="G15" s="22" t="inlineStr">
        <is>
          <t>La couverture de la partie C est plus étroite qu'annoncé.</t>
        </is>
      </c>
      <c r="H15" s="22" t="inlineStr">
        <is>
          <t>Soit admettre les secondaires dans le seuil de la SPEC, soit réorienter une sous-question.</t>
        </is>
      </c>
    </row>
    <row r="16">
      <c r="A16" s="21" t="n">
        <v>15</v>
      </c>
      <c r="B16" s="21" t="n">
        <v>2</v>
      </c>
      <c r="C16" s="20" t="inlineStr">
        <is>
          <t>1ère D</t>
        </is>
      </c>
      <c r="D16" s="20" t="inlineStr">
        <is>
          <t>Matrice</t>
        </is>
      </c>
      <c r="E16" s="20" t="inlineStr">
        <is>
          <t>Couverture de la partie C</t>
        </is>
      </c>
      <c r="F16" s="20" t="inlineStr">
        <is>
          <t>La matrice annonce 11 compétences en partie C ; 9 apparaissent comme compétence principale, G-b seulement en secondaire et G-a nulle part (sa 3e observation annoncée en P3 n'existe pas).</t>
        </is>
      </c>
      <c r="G16" s="20" t="inlineStr">
        <is>
          <t>La couverture réelle de G-a est de 2 questions, pas 3.</t>
        </is>
      </c>
      <c r="H16" s="20" t="inlineStr">
        <is>
          <t>Corriger le tableau de couverture de la matrice.</t>
        </is>
      </c>
    </row>
    <row r="17">
      <c r="A17" s="23" t="n">
        <v>16</v>
      </c>
      <c r="B17" s="23" t="n">
        <v>2</v>
      </c>
      <c r="C17" s="22" t="inlineStr">
        <is>
          <t>Tle D</t>
        </is>
      </c>
      <c r="D17" s="22" t="inlineStr">
        <is>
          <t>Matrice</t>
        </is>
      </c>
      <c r="E17" s="22" t="inlineStr">
        <is>
          <t>Section 2, ligne L4</t>
        </is>
      </c>
      <c r="F17" s="22" t="inlineStr">
        <is>
          <t>La matrice affirme que la factorisation retirée de L4 est reprise en P2 et P4 : aucune sous-question de C ne factorise un polynôme de degré 3.</t>
        </is>
      </c>
      <c r="G17" s="22" t="inlineStr">
        <is>
          <t>La factorisation de degré 3 n'est plus observée au niveau 3.</t>
        </is>
      </c>
      <c r="H17" s="22" t="inlineStr">
        <is>
          <t>Corriger la phrase de la matrice.</t>
        </is>
      </c>
    </row>
    <row r="18">
      <c r="A18" s="21" t="n">
        <v>17</v>
      </c>
      <c r="B18" s="21" t="n">
        <v>2</v>
      </c>
      <c r="C18" s="20" t="inlineStr">
        <is>
          <t>3ème</t>
        </is>
      </c>
      <c r="D18" s="20" t="inlineStr">
        <is>
          <t>Référentiel (onglet 02)</t>
        </is>
      </c>
      <c r="E18" s="20" t="inlineStr">
        <is>
          <t>Compétences manquantes</t>
        </is>
      </c>
      <c r="F18" s="20" t="inlineStr">
        <is>
          <t>Aucun code canonique pour : les conversions d'unités en 3ème (P1.2 : 6,75 m³ = 6 750 L), la propriété des diagonales du parallélogramme (G7). Le libellé de G.POLY ne mentionne pas les volumes, alors que G6 et P1.1 sont des calculs de volume.</t>
        </is>
      </c>
      <c r="G18" s="20" t="inlineStr">
        <is>
          <t>Ces erreurs sont rangées sous une compétence voisine (D.PROP, G.VEC) : la remédiation visera la mauvaise notion.</t>
        </is>
      </c>
      <c r="H18" s="20" t="inlineStr">
        <is>
          <t>Compléter l'onglet 02 (et le pont) à la relecture par l'enseignant : M.CONV au pont 3ème, libellé de G.POLY.</t>
        </is>
      </c>
    </row>
    <row r="19">
      <c r="A19" s="23" t="n">
        <v>18</v>
      </c>
      <c r="B19" s="23" t="n">
        <v>2</v>
      </c>
      <c r="C19" s="22" t="inlineStr">
        <is>
          <t>2nde C, 4ème, 5ème</t>
        </is>
      </c>
      <c r="D19" s="22" t="inlineStr">
        <is>
          <t>Référentiel (pont)</t>
        </is>
      </c>
      <c r="E19" s="22" t="inlineStr">
        <is>
          <t>Sous-questions sans code adapté</t>
        </is>
      </c>
      <c r="F19" s="22" t="inlineStr">
        <is>
          <t>2nde C : P1.3 et P4.3 (coût, conversion de durées, comparaison) et P2.3 (aires) ne relèvent d'aucune des 16 compétences du test. 4ème : P3.3 est surtout un périmètre. 5ème : P2.3 est rattachée à N-b (priorités) sans enjeu de priorité.</t>
        </is>
      </c>
      <c r="G19" s="22" t="inlineStr">
        <is>
          <t>Tagage par défaut (N.PRIO, N.RAT, D.PROP) : diagnostic approximatif sur ces sous-questions.</t>
        </is>
      </c>
      <c r="H19" s="22" t="inlineStr">
        <is>
          <t>Ajouter au pont les compétences effectivement mobilisées, ou recentrer ces sous-questions sur les compétences du test.</t>
        </is>
      </c>
    </row>
    <row r="20">
      <c r="A20" s="21" t="n">
        <v>19</v>
      </c>
      <c r="B20" s="21" t="n">
        <v>3</v>
      </c>
      <c r="C20" s="20" t="inlineStr">
        <is>
          <t>6ème</t>
        </is>
      </c>
      <c r="D20" s="20" t="inlineStr">
        <is>
          <t>Matrice</t>
        </is>
      </c>
      <c r="E20" s="20" t="inlineStr">
        <is>
          <t>Explications de distracteurs</t>
        </is>
      </c>
      <c r="F20" s="20" t="inlineStr">
        <is>
          <t>N2 b) 509 vient des 9 centièmes écrits en unités (pas d'un oubli de la partie décimale) ; N5 d) 80 vient de la fraction inversée ; M3 d) 16 additionne base, hauteur et un côté (ce n'est pas le périmètre) ; D2 c) 40 % ne s'obtient par aucun décalage de virgule.</t>
        </is>
      </c>
      <c r="G20" s="20" t="inlineStr">
        <is>
          <t>Les explications de la matrice étaient fausses ; l'onglet 06 donne l'erreur réellement en cause.</t>
        </is>
      </c>
      <c r="H20" s="20" t="inlineStr">
        <is>
          <t>Corriger la matrice ; D2 c) est un distracteur faible à remplacer.</t>
        </is>
      </c>
    </row>
    <row r="21">
      <c r="A21" s="23" t="n">
        <v>20</v>
      </c>
      <c r="B21" s="23" t="n">
        <v>3</v>
      </c>
      <c r="C21" s="22" t="inlineStr">
        <is>
          <t>2nde C</t>
        </is>
      </c>
      <c r="D21" s="22" t="inlineStr">
        <is>
          <t>Matrice</t>
        </is>
      </c>
      <c r="E21" s="22" t="inlineStr">
        <is>
          <t>N3 b)</t>
        </is>
      </c>
      <c r="F21" s="22" t="inlineStr">
        <is>
          <t>« Exposants soustraits à l'envers » donnerait 3 × 10⁸, non proposé. L'option b) 3 × 10⁻² vient de la perte du signe de -3.</t>
        </is>
      </c>
      <c r="G21" s="22" t="inlineStr">
        <is>
          <t>Explication corrigée dans l'onglet 06 (PRC).</t>
        </is>
      </c>
      <c r="H21" s="22" t="inlineStr">
        <is>
          <t>Corriger la matrice.</t>
        </is>
      </c>
    </row>
    <row r="22">
      <c r="A22" s="21" t="n">
        <v>21</v>
      </c>
      <c r="B22" s="21" t="n">
        <v>3</v>
      </c>
      <c r="C22" s="20" t="inlineStr">
        <is>
          <t>Tle D</t>
        </is>
      </c>
      <c r="D22" s="20" t="inlineStr">
        <is>
          <t>Matrice</t>
        </is>
      </c>
      <c r="E22" s="20" t="inlineStr">
        <is>
          <t>G1 b)</t>
        </is>
      </c>
      <c r="F22" s="20" t="inlineStr">
        <is>
          <t>« Somme au lieu du quotient » ne mène à 6 par aucun calcul ; seul chemin : produits croisés (-2m + 12 = 0).</t>
        </is>
      </c>
      <c r="G22" s="20" t="inlineStr">
        <is>
          <t>Explication corrigée dans l'onglet 06 (CPT).</t>
        </is>
      </c>
      <c r="H22" s="20" t="inlineStr">
        <is>
          <t>Corriger la matrice.</t>
        </is>
      </c>
    </row>
    <row r="23">
      <c r="A23" s="23" t="n">
        <v>22</v>
      </c>
      <c r="B23" s="23" t="n">
        <v>3</v>
      </c>
      <c r="C23" s="22" t="inlineStr">
        <is>
          <t>3ème, 4ème, 5ème, 1ère D</t>
        </is>
      </c>
      <c r="D23" s="22" t="inlineStr">
        <is>
          <t>Sujet</t>
        </is>
      </c>
      <c r="E23" s="22" t="inlineStr">
        <is>
          <t>Distracteurs faibles</t>
        </is>
      </c>
      <c r="F23" s="22" t="inlineStr">
        <is>
          <t>Options sans erreur plausible nette : 3ème N3 d) 7,7, G2 b) et c) ; 4ème L1 b), M1 d) ; 5ème G4 b) ; 1ère D G5 d). En 5ème, les trois options fausses de G5 relèvent de la même erreur.</t>
        </is>
      </c>
      <c r="G23" s="22" t="inlineStr">
        <is>
          <t>Ces options renseignent peu sur le type d'erreur ; leur type dans l'onglet 06 est un choix par défaut.</t>
        </is>
      </c>
      <c r="H23" s="22" t="inlineStr">
        <is>
          <t>Remplacer ces options par des erreurs typiques à la prochaine révision.</t>
        </is>
      </c>
    </row>
    <row r="24">
      <c r="A24" s="21" t="n">
        <v>23</v>
      </c>
      <c r="B24" s="21" t="n">
        <v>3</v>
      </c>
      <c r="C24" s="20" t="inlineStr">
        <is>
          <t>1ère D</t>
        </is>
      </c>
      <c r="D24" s="20" t="inlineStr">
        <is>
          <t>Sujet</t>
        </is>
      </c>
      <c r="E24" s="20" t="inlineStr">
        <is>
          <t>P2 q1</t>
        </is>
      </c>
      <c r="F24" s="20" t="inlineStr">
        <is>
          <t>La médiane lue sur la liste non rangée (12) est aussi le mode.</t>
        </is>
      </c>
      <c r="G24" s="20" t="inlineStr">
        <is>
          <t>La copie ne distingue pas « rangement omis » et « confusion médiane / mode ».</t>
        </is>
      </c>
      <c r="H24" s="20" t="inlineStr">
        <is>
          <t>Pour information.</t>
        </is>
      </c>
    </row>
    <row r="25">
      <c r="A25" s="23" t="n">
        <v>24</v>
      </c>
      <c r="B25" s="23" t="n">
        <v>3</v>
      </c>
      <c r="C25" s="22" t="inlineStr">
        <is>
          <t>5ème</t>
        </is>
      </c>
      <c r="D25" s="22" t="inlineStr">
        <is>
          <t>Corrigé</t>
        </is>
      </c>
      <c r="E25" s="22" t="inlineStr">
        <is>
          <t>M2, « Si l'élève échoue »</t>
        </is>
      </c>
      <c r="F25" s="22" t="inlineStr">
        <is>
          <t>Le corrigé évoque la confusion de la hauteur avec un côté ; la question ne donne aucun côté oblique, cette erreur est impossible.</t>
        </is>
      </c>
      <c r="G25" s="22" t="inlineStr">
        <is>
          <t>Aucun.</t>
        </is>
      </c>
      <c r="H25" s="22" t="inlineStr">
        <is>
          <t>Corriger la ligne du corrigé.</t>
        </is>
      </c>
    </row>
    <row r="26">
      <c r="A26" s="21" t="n">
        <v>25</v>
      </c>
      <c r="B26" s="21" t="n">
        <v>3</v>
      </c>
      <c r="C26" s="20" t="inlineStr">
        <is>
          <t>6ème, 4ème, 1ère D</t>
        </is>
      </c>
      <c r="D26" s="20" t="inlineStr">
        <is>
          <t>Matrice</t>
        </is>
      </c>
      <c r="E26" s="20" t="inlineStr">
        <is>
          <t>Décomptes internes</t>
        </is>
      </c>
      <c r="F26" s="20" t="inlineStr">
        <is>
          <t>6ème : décompte des caractères de niveau 2 faux (b = 6 et c = 5, non 5 et 4) et « ces six questions » n'en liste que cinq. 4ème : P1 q2 rattachée à N-g en section 3.1 et à N-d en section 4. 1ère D : P1 q1 rangée en L-a alors que la tâche (développer une forme canonique) relève de L-b.</t>
        </is>
      </c>
      <c r="G26" s="20" t="inlineStr">
        <is>
          <t>Aucun sur le tagage.</t>
        </is>
      </c>
      <c r="H26" s="20" t="inlineStr">
        <is>
          <t>Corriger la matrice.</t>
        </is>
      </c>
    </row>
    <row r="27">
      <c r="A27" s="23" t="n">
        <v>26</v>
      </c>
      <c r="B27" s="23" t="n">
        <v>3</v>
      </c>
      <c r="C27" s="22" t="inlineStr">
        <is>
          <t>3ème</t>
        </is>
      </c>
      <c r="D27" s="22" t="inlineStr">
        <is>
          <t>Sujet</t>
        </is>
      </c>
      <c r="E27" s="22" t="inlineStr">
        <is>
          <t>Toponyme</t>
        </is>
      </c>
      <c r="F27" s="22" t="inlineStr">
        <is>
          <t>« A Sapone » : écrire « A Saponé ».</t>
        </is>
      </c>
      <c r="G27" s="22" t="inlineStr">
        <is>
          <t>Aucun.</t>
        </is>
      </c>
      <c r="H27" s="22" t="inlineStr">
        <is>
          <t>Corriger le sujet.</t>
        </is>
      </c>
    </row>
    <row r="28">
      <c r="A28" s="21" t="n">
        <v>27</v>
      </c>
      <c r="B28" s="21" t="n">
        <v>3</v>
      </c>
      <c r="C28" s="20" t="inlineStr">
        <is>
          <t>1ère D</t>
        </is>
      </c>
      <c r="D28" s="20" t="inlineStr">
        <is>
          <t>Corrigé</t>
        </is>
      </c>
      <c r="E28" s="20" t="inlineStr">
        <is>
          <t>Renvois au livret de remédiation</t>
        </is>
      </c>
      <c r="F28" s="20" t="inlineStr">
        <is>
          <t>Les lignes « Si l'élève échoue » de G2, G3, G5, G6, G7, D1, G9, D2 et P2 ne renvoient à aucun module du livret, contrairement aux autres questions.</t>
        </is>
      </c>
      <c r="G28" s="20" t="inlineStr">
        <is>
          <t>Aucun sur le tagage.</t>
        </is>
      </c>
      <c r="H28" s="20" t="inlineStr">
        <is>
          <t>Vérifier si un module du livret correspond ; n'en citer un que s'il existe.</t>
        </is>
      </c>
    </row>
    <row r="30">
      <c r="A30" s="25" t="inlineStr">
        <is>
          <t>Priorité 1 : fausse la note ou le diagnostic, à corriger avant la prochaine passation. Priorité 2 : à corriger à la prochaine révision. Priorité 3 : explication ou forme.</t>
        </is>
      </c>
    </row>
  </sheetData>
  <autoFilter ref="A1:H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2026-07-28T15:07:30Z</dcterms:created>
  <dcterms:modified xmlns:dcterms="http://purl.org/dc/terms/" xmlns:xsi="http://www.w3.org/2001/XMLSchema-instance" xsi:type="dcterms:W3CDTF">2026-10-12T19:53:18Z</dcterms:modified>
  <cp:revision>0</cp:revision>
</cp:coreProperties>
</file>